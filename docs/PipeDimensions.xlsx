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work\organ\docs\"/>
    </mc:Choice>
  </mc:AlternateContent>
  <xr:revisionPtr revIDLastSave="0" documentId="13_ncr:1_{758CF225-80E4-4BFE-AE91-87173D4BE1D2}" xr6:coauthVersionLast="47" xr6:coauthVersionMax="47" xr10:uidLastSave="{00000000-0000-0000-0000-000000000000}"/>
  <bookViews>
    <workbookView xWindow="59490" yWindow="5925" windowWidth="43440" windowHeight="23445" activeTab="9" xr2:uid="{B2B28161-BA18-4FDD-93BC-6DFBB4B94DE8}"/>
  </bookViews>
  <sheets>
    <sheet name="Master" sheetId="10" r:id="rId1"/>
    <sheet name="1' Wide" sheetId="6" r:id="rId2"/>
    <sheet name="2' Wide" sheetId="5" r:id="rId3"/>
    <sheet name="2.66' Wide" sheetId="9" r:id="rId4"/>
    <sheet name="4' Wide" sheetId="1" r:id="rId5"/>
    <sheet name="4' Narrow" sheetId="2" r:id="rId6"/>
    <sheet name="4' Narrow Extended" sheetId="8" r:id="rId7"/>
    <sheet name="8' Wide" sheetId="11" r:id="rId8"/>
    <sheet name="8' Narrow" sheetId="4" r:id="rId9"/>
    <sheet name="8' Narrow Extended" sheetId="7" r:id="rId10"/>
    <sheet name="8' Wide Pedal" sheetId="13" r:id="rId11"/>
    <sheet name="8' Wide Pedal Extended" sheetId="3" r:id="rId12"/>
    <sheet name="8' Narrow Pedal" sheetId="12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6" i="3" l="1"/>
  <c r="L16" i="3"/>
  <c r="L16" i="13"/>
  <c r="Q16" i="13"/>
  <c r="B38" i="13"/>
  <c r="B37" i="13"/>
  <c r="B36" i="13"/>
  <c r="B35" i="13"/>
  <c r="B34" i="13"/>
  <c r="B33" i="13"/>
  <c r="B32" i="13"/>
  <c r="B31" i="13"/>
  <c r="C30" i="13"/>
  <c r="B30" i="13"/>
  <c r="B29" i="13"/>
  <c r="B28" i="13"/>
  <c r="B27" i="13"/>
  <c r="B26" i="13"/>
  <c r="B25" i="13"/>
  <c r="B24" i="13"/>
  <c r="B23" i="13"/>
  <c r="B22" i="13"/>
  <c r="B21" i="13"/>
  <c r="C20" i="13"/>
  <c r="B20" i="13"/>
  <c r="B19" i="13"/>
  <c r="B18" i="13"/>
  <c r="B17" i="13"/>
  <c r="B16" i="13"/>
  <c r="B15" i="13"/>
  <c r="B14" i="13"/>
  <c r="B13" i="13"/>
  <c r="B12" i="13"/>
  <c r="B11" i="13"/>
  <c r="C10" i="13"/>
  <c r="B10" i="13"/>
  <c r="B9" i="13"/>
  <c r="B8" i="13"/>
  <c r="B7" i="13"/>
  <c r="D7" i="13" s="1"/>
  <c r="D8" i="13" s="1"/>
  <c r="D9" i="13" s="1"/>
  <c r="D10" i="13" s="1"/>
  <c r="D11" i="13" s="1"/>
  <c r="D12" i="13" s="1"/>
  <c r="D13" i="13" s="1"/>
  <c r="D14" i="13" s="1"/>
  <c r="D15" i="13" s="1"/>
  <c r="D16" i="13" s="1"/>
  <c r="D17" i="13" s="1"/>
  <c r="D18" i="13" s="1"/>
  <c r="D19" i="13" s="1"/>
  <c r="D20" i="13" s="1"/>
  <c r="D21" i="13" s="1"/>
  <c r="D22" i="13" s="1"/>
  <c r="D23" i="13" s="1"/>
  <c r="D24" i="13" s="1"/>
  <c r="D25" i="13" s="1"/>
  <c r="D26" i="13" s="1"/>
  <c r="D27" i="13" s="1"/>
  <c r="D28" i="13" s="1"/>
  <c r="D29" i="13" s="1"/>
  <c r="D30" i="13" s="1"/>
  <c r="D31" i="13" s="1"/>
  <c r="D32" i="13" s="1"/>
  <c r="D33" i="13" s="1"/>
  <c r="D34" i="13" s="1"/>
  <c r="D35" i="13" s="1"/>
  <c r="D36" i="13" s="1"/>
  <c r="D37" i="13" s="1"/>
  <c r="D38" i="13" s="1"/>
  <c r="B5" i="13"/>
  <c r="C38" i="12"/>
  <c r="G38" i="12" s="1"/>
  <c r="B38" i="12"/>
  <c r="B37" i="12"/>
  <c r="B36" i="12"/>
  <c r="C35" i="12"/>
  <c r="G35" i="12" s="1"/>
  <c r="B35" i="12"/>
  <c r="C34" i="12"/>
  <c r="B34" i="12"/>
  <c r="B33" i="12"/>
  <c r="C32" i="12"/>
  <c r="G32" i="12" s="1"/>
  <c r="B32" i="12"/>
  <c r="C31" i="12"/>
  <c r="F31" i="12" s="1"/>
  <c r="B31" i="12"/>
  <c r="B30" i="12"/>
  <c r="C29" i="12"/>
  <c r="G29" i="12" s="1"/>
  <c r="B29" i="12"/>
  <c r="C28" i="12"/>
  <c r="B28" i="12"/>
  <c r="B27" i="12"/>
  <c r="C26" i="12"/>
  <c r="G26" i="12" s="1"/>
  <c r="B26" i="12"/>
  <c r="C25" i="12"/>
  <c r="G25" i="12" s="1"/>
  <c r="B25" i="12"/>
  <c r="C24" i="12"/>
  <c r="B24" i="12"/>
  <c r="B23" i="12"/>
  <c r="C22" i="12"/>
  <c r="G22" i="12" s="1"/>
  <c r="B22" i="12"/>
  <c r="C21" i="12"/>
  <c r="F21" i="12" s="1"/>
  <c r="B21" i="12"/>
  <c r="B20" i="12"/>
  <c r="C19" i="12"/>
  <c r="G19" i="12" s="1"/>
  <c r="B19" i="12"/>
  <c r="C18" i="12"/>
  <c r="B18" i="12"/>
  <c r="B17" i="12"/>
  <c r="C16" i="12"/>
  <c r="G16" i="12" s="1"/>
  <c r="B16" i="12"/>
  <c r="C15" i="12"/>
  <c r="G15" i="12" s="1"/>
  <c r="B15" i="12"/>
  <c r="C14" i="12"/>
  <c r="F14" i="12" s="1"/>
  <c r="B14" i="12"/>
  <c r="Q13" i="12"/>
  <c r="L13" i="12"/>
  <c r="C13" i="12"/>
  <c r="G13" i="12" s="1"/>
  <c r="B13" i="12"/>
  <c r="C12" i="12"/>
  <c r="G12" i="12" s="1"/>
  <c r="B12" i="12"/>
  <c r="C11" i="12"/>
  <c r="B11" i="12"/>
  <c r="B10" i="12"/>
  <c r="C9" i="12"/>
  <c r="G9" i="12" s="1"/>
  <c r="B9" i="12"/>
  <c r="C8" i="12"/>
  <c r="F8" i="12" s="1"/>
  <c r="B8" i="12"/>
  <c r="B7" i="12"/>
  <c r="D7" i="12" s="1"/>
  <c r="D8" i="12" s="1"/>
  <c r="D9" i="12" s="1"/>
  <c r="D10" i="12" s="1"/>
  <c r="D11" i="12" s="1"/>
  <c r="D12" i="12" s="1"/>
  <c r="D13" i="12" s="1"/>
  <c r="D14" i="12" s="1"/>
  <c r="D15" i="12" s="1"/>
  <c r="D16" i="12" s="1"/>
  <c r="D17" i="12" s="1"/>
  <c r="D18" i="12" s="1"/>
  <c r="D19" i="12" s="1"/>
  <c r="D20" i="12" s="1"/>
  <c r="D21" i="12" s="1"/>
  <c r="D22" i="12" s="1"/>
  <c r="D23" i="12" s="1"/>
  <c r="D24" i="12" s="1"/>
  <c r="D25" i="12" s="1"/>
  <c r="D26" i="12" s="1"/>
  <c r="D27" i="12" s="1"/>
  <c r="D28" i="12" s="1"/>
  <c r="D29" i="12" s="1"/>
  <c r="D30" i="12" s="1"/>
  <c r="D31" i="12" s="1"/>
  <c r="D32" i="12" s="1"/>
  <c r="D33" i="12" s="1"/>
  <c r="D34" i="12" s="1"/>
  <c r="D35" i="12" s="1"/>
  <c r="D36" i="12" s="1"/>
  <c r="D37" i="12" s="1"/>
  <c r="D38" i="12" s="1"/>
  <c r="B5" i="12"/>
  <c r="C37" i="12" s="1"/>
  <c r="B67" i="11"/>
  <c r="C66" i="11"/>
  <c r="B66" i="11"/>
  <c r="B65" i="11"/>
  <c r="C64" i="11"/>
  <c r="B64" i="11"/>
  <c r="B63" i="11"/>
  <c r="C62" i="11"/>
  <c r="B62" i="11"/>
  <c r="B61" i="11"/>
  <c r="C60" i="11"/>
  <c r="B60" i="11"/>
  <c r="B59" i="11"/>
  <c r="C58" i="11"/>
  <c r="B58" i="11"/>
  <c r="B57" i="11"/>
  <c r="C56" i="11"/>
  <c r="B56" i="11"/>
  <c r="B55" i="11"/>
  <c r="C54" i="11"/>
  <c r="B54" i="11"/>
  <c r="B53" i="11"/>
  <c r="C52" i="11"/>
  <c r="B52" i="11"/>
  <c r="B51" i="11"/>
  <c r="C50" i="11"/>
  <c r="B50" i="11"/>
  <c r="B49" i="11"/>
  <c r="C48" i="11"/>
  <c r="B48" i="11"/>
  <c r="B47" i="11"/>
  <c r="C46" i="11"/>
  <c r="B46" i="11"/>
  <c r="B45" i="11"/>
  <c r="C44" i="11"/>
  <c r="G44" i="11" s="1"/>
  <c r="B44" i="11"/>
  <c r="C43" i="11"/>
  <c r="G43" i="11" s="1"/>
  <c r="B43" i="11"/>
  <c r="G42" i="11"/>
  <c r="C42" i="11"/>
  <c r="F42" i="11" s="1"/>
  <c r="B42" i="11"/>
  <c r="C41" i="11"/>
  <c r="B41" i="11"/>
  <c r="B40" i="11"/>
  <c r="B39" i="11"/>
  <c r="B38" i="11"/>
  <c r="B37" i="11"/>
  <c r="C36" i="11"/>
  <c r="B36" i="11"/>
  <c r="B35" i="11"/>
  <c r="C34" i="11"/>
  <c r="G34" i="11" s="1"/>
  <c r="B34" i="11"/>
  <c r="C33" i="11"/>
  <c r="G33" i="11" s="1"/>
  <c r="B33" i="11"/>
  <c r="G32" i="11"/>
  <c r="C32" i="11"/>
  <c r="F32" i="11" s="1"/>
  <c r="B32" i="11"/>
  <c r="C31" i="11"/>
  <c r="B31" i="11"/>
  <c r="B30" i="11"/>
  <c r="B29" i="11"/>
  <c r="B28" i="11"/>
  <c r="B27" i="11"/>
  <c r="C26" i="11"/>
  <c r="B26" i="11"/>
  <c r="B25" i="11"/>
  <c r="C24" i="11"/>
  <c r="G24" i="11" s="1"/>
  <c r="B24" i="11"/>
  <c r="C23" i="11"/>
  <c r="G23" i="11" s="1"/>
  <c r="B23" i="11"/>
  <c r="G22" i="11"/>
  <c r="C22" i="11"/>
  <c r="F22" i="11" s="1"/>
  <c r="B22" i="11"/>
  <c r="C21" i="11"/>
  <c r="B21" i="11"/>
  <c r="B20" i="11"/>
  <c r="B19" i="11"/>
  <c r="B18" i="11"/>
  <c r="B17" i="11"/>
  <c r="C16" i="11"/>
  <c r="B16" i="11"/>
  <c r="B15" i="11"/>
  <c r="C14" i="11"/>
  <c r="G14" i="11" s="1"/>
  <c r="B14" i="11"/>
  <c r="C13" i="11"/>
  <c r="G13" i="11" s="1"/>
  <c r="B13" i="11"/>
  <c r="G12" i="11"/>
  <c r="C12" i="11"/>
  <c r="F12" i="11" s="1"/>
  <c r="B12" i="11"/>
  <c r="C11" i="11"/>
  <c r="B11" i="11"/>
  <c r="B10" i="11"/>
  <c r="B9" i="11"/>
  <c r="B8" i="11"/>
  <c r="D7" i="11"/>
  <c r="D8" i="11" s="1"/>
  <c r="D9" i="11" s="1"/>
  <c r="D10" i="11" s="1"/>
  <c r="D11" i="11" s="1"/>
  <c r="D12" i="11" s="1"/>
  <c r="D13" i="11" s="1"/>
  <c r="D14" i="11" s="1"/>
  <c r="D15" i="11" s="1"/>
  <c r="D16" i="11" s="1"/>
  <c r="D17" i="11" s="1"/>
  <c r="D18" i="11" s="1"/>
  <c r="D19" i="11" s="1"/>
  <c r="D20" i="11" s="1"/>
  <c r="D21" i="11" s="1"/>
  <c r="D22" i="11" s="1"/>
  <c r="D23" i="11" s="1"/>
  <c r="D24" i="11" s="1"/>
  <c r="D25" i="11" s="1"/>
  <c r="D26" i="11" s="1"/>
  <c r="D27" i="11" s="1"/>
  <c r="D28" i="11" s="1"/>
  <c r="D29" i="11" s="1"/>
  <c r="D30" i="11" s="1"/>
  <c r="D31" i="11" s="1"/>
  <c r="D32" i="11" s="1"/>
  <c r="D33" i="11" s="1"/>
  <c r="D34" i="11" s="1"/>
  <c r="D35" i="11" s="1"/>
  <c r="D36" i="11" s="1"/>
  <c r="D37" i="11" s="1"/>
  <c r="D38" i="11" s="1"/>
  <c r="D39" i="11" s="1"/>
  <c r="D40" i="11" s="1"/>
  <c r="D41" i="11" s="1"/>
  <c r="D42" i="11" s="1"/>
  <c r="D43" i="11" s="1"/>
  <c r="D44" i="11" s="1"/>
  <c r="D45" i="11" s="1"/>
  <c r="D46" i="11" s="1"/>
  <c r="D47" i="11" s="1"/>
  <c r="D48" i="11" s="1"/>
  <c r="D49" i="11" s="1"/>
  <c r="D50" i="11" s="1"/>
  <c r="D51" i="11" s="1"/>
  <c r="D52" i="11" s="1"/>
  <c r="D53" i="11" s="1"/>
  <c r="D54" i="11" s="1"/>
  <c r="D55" i="11" s="1"/>
  <c r="D56" i="11" s="1"/>
  <c r="D57" i="11" s="1"/>
  <c r="D58" i="11" s="1"/>
  <c r="D59" i="11" s="1"/>
  <c r="D60" i="11" s="1"/>
  <c r="D61" i="11" s="1"/>
  <c r="D62" i="11" s="1"/>
  <c r="D63" i="11" s="1"/>
  <c r="D64" i="11" s="1"/>
  <c r="D65" i="11" s="1"/>
  <c r="D66" i="11" s="1"/>
  <c r="D67" i="11" s="1"/>
  <c r="B7" i="11"/>
  <c r="B5" i="11"/>
  <c r="C7" i="11" s="1"/>
  <c r="B67" i="9"/>
  <c r="B66" i="9"/>
  <c r="B65" i="9"/>
  <c r="B64" i="9"/>
  <c r="B63" i="9"/>
  <c r="B62" i="9"/>
  <c r="B61" i="9"/>
  <c r="B60" i="9"/>
  <c r="B59" i="9"/>
  <c r="B58" i="9"/>
  <c r="B57" i="9"/>
  <c r="B56" i="9"/>
  <c r="B55" i="9"/>
  <c r="B54" i="9"/>
  <c r="B53" i="9"/>
  <c r="B52" i="9"/>
  <c r="B51" i="9"/>
  <c r="B50" i="9"/>
  <c r="B49" i="9"/>
  <c r="B48" i="9"/>
  <c r="B47" i="9"/>
  <c r="B46" i="9"/>
  <c r="B45" i="9"/>
  <c r="B44" i="9"/>
  <c r="B43" i="9"/>
  <c r="B42" i="9"/>
  <c r="C41" i="9"/>
  <c r="B41" i="9"/>
  <c r="B40" i="9"/>
  <c r="B39" i="9"/>
  <c r="B38" i="9"/>
  <c r="B37" i="9"/>
  <c r="B36" i="9"/>
  <c r="B35" i="9"/>
  <c r="B34" i="9"/>
  <c r="B33" i="9"/>
  <c r="B32" i="9"/>
  <c r="B31" i="9"/>
  <c r="B30" i="9"/>
  <c r="C29" i="9"/>
  <c r="B29" i="9"/>
  <c r="B28" i="9"/>
  <c r="B27" i="9"/>
  <c r="B26" i="9"/>
  <c r="B25" i="9"/>
  <c r="B24" i="9"/>
  <c r="B23" i="9"/>
  <c r="B22" i="9"/>
  <c r="B21" i="9"/>
  <c r="B20" i="9"/>
  <c r="B19" i="9"/>
  <c r="B18" i="9"/>
  <c r="B17" i="9"/>
  <c r="B16" i="9"/>
  <c r="B15" i="9"/>
  <c r="B14" i="9"/>
  <c r="Q13" i="9"/>
  <c r="L13" i="9"/>
  <c r="B13" i="9"/>
  <c r="B12" i="9"/>
  <c r="B11" i="9"/>
  <c r="B10" i="9"/>
  <c r="B9" i="9"/>
  <c r="B8" i="9"/>
  <c r="B7" i="9"/>
  <c r="D7" i="9" s="1"/>
  <c r="D8" i="9" s="1"/>
  <c r="D9" i="9" s="1"/>
  <c r="D10" i="9" s="1"/>
  <c r="D11" i="9" s="1"/>
  <c r="D12" i="9" s="1"/>
  <c r="D13" i="9" s="1"/>
  <c r="D14" i="9" s="1"/>
  <c r="D15" i="9" s="1"/>
  <c r="D16" i="9" s="1"/>
  <c r="D17" i="9" s="1"/>
  <c r="D18" i="9" s="1"/>
  <c r="D19" i="9" s="1"/>
  <c r="D20" i="9" s="1"/>
  <c r="D21" i="9" s="1"/>
  <c r="B5" i="9"/>
  <c r="C37" i="9" s="1"/>
  <c r="Q13" i="7"/>
  <c r="L13" i="7"/>
  <c r="Q13" i="4"/>
  <c r="L13" i="4"/>
  <c r="B68" i="8"/>
  <c r="C68" i="8"/>
  <c r="D68" i="8"/>
  <c r="E68" i="8"/>
  <c r="B69" i="8"/>
  <c r="C69" i="8"/>
  <c r="D69" i="8"/>
  <c r="D70" i="8" s="1"/>
  <c r="D71" i="8" s="1"/>
  <c r="D72" i="8" s="1"/>
  <c r="D73" i="8" s="1"/>
  <c r="D74" i="8" s="1"/>
  <c r="D75" i="8" s="1"/>
  <c r="D76" i="8" s="1"/>
  <c r="D77" i="8" s="1"/>
  <c r="D78" i="8" s="1"/>
  <c r="D79" i="8" s="1"/>
  <c r="E69" i="8"/>
  <c r="E70" i="8" s="1"/>
  <c r="E71" i="8" s="1"/>
  <c r="E72" i="8" s="1"/>
  <c r="E73" i="8" s="1"/>
  <c r="E74" i="8" s="1"/>
  <c r="E75" i="8" s="1"/>
  <c r="E76" i="8" s="1"/>
  <c r="E77" i="8" s="1"/>
  <c r="E78" i="8" s="1"/>
  <c r="E79" i="8" s="1"/>
  <c r="B70" i="8"/>
  <c r="C70" i="8"/>
  <c r="B71" i="8"/>
  <c r="C71" i="8"/>
  <c r="B72" i="8"/>
  <c r="C72" i="8"/>
  <c r="B73" i="8"/>
  <c r="C73" i="8"/>
  <c r="B74" i="8"/>
  <c r="C74" i="8"/>
  <c r="B75" i="8"/>
  <c r="C75" i="8"/>
  <c r="B76" i="8"/>
  <c r="C76" i="8"/>
  <c r="B77" i="8"/>
  <c r="C77" i="8"/>
  <c r="B78" i="8"/>
  <c r="C78" i="8"/>
  <c r="B79" i="8"/>
  <c r="C79" i="8"/>
  <c r="F79" i="8"/>
  <c r="F78" i="8" s="1"/>
  <c r="F77" i="8" s="1"/>
  <c r="F76" i="8" s="1"/>
  <c r="F75" i="8" s="1"/>
  <c r="F74" i="8" s="1"/>
  <c r="F73" i="8" s="1"/>
  <c r="F72" i="8" s="1"/>
  <c r="F71" i="8" s="1"/>
  <c r="F70" i="8" s="1"/>
  <c r="F69" i="8" s="1"/>
  <c r="F68" i="8" s="1"/>
  <c r="B67" i="8"/>
  <c r="C66" i="8"/>
  <c r="B66" i="8"/>
  <c r="C65" i="8"/>
  <c r="B65" i="8"/>
  <c r="C64" i="8"/>
  <c r="B64" i="8"/>
  <c r="B63" i="8"/>
  <c r="C62" i="8"/>
  <c r="B62" i="8"/>
  <c r="C61" i="8"/>
  <c r="B61" i="8"/>
  <c r="C60" i="8"/>
  <c r="B60" i="8"/>
  <c r="B59" i="8"/>
  <c r="C58" i="8"/>
  <c r="B58" i="8"/>
  <c r="C57" i="8"/>
  <c r="B57" i="8"/>
  <c r="C56" i="8"/>
  <c r="B56" i="8"/>
  <c r="B55" i="8"/>
  <c r="C54" i="8"/>
  <c r="B54" i="8"/>
  <c r="C53" i="8"/>
  <c r="B53" i="8"/>
  <c r="C52" i="8"/>
  <c r="B52" i="8"/>
  <c r="B51" i="8"/>
  <c r="C50" i="8"/>
  <c r="B50" i="8"/>
  <c r="C49" i="8"/>
  <c r="B49" i="8"/>
  <c r="C48" i="8"/>
  <c r="B48" i="8"/>
  <c r="B47" i="8"/>
  <c r="C46" i="8"/>
  <c r="B46" i="8"/>
  <c r="C45" i="8"/>
  <c r="B45" i="8"/>
  <c r="C44" i="8"/>
  <c r="B44" i="8"/>
  <c r="B43" i="8"/>
  <c r="C42" i="8"/>
  <c r="B42" i="8"/>
  <c r="B41" i="8"/>
  <c r="B40" i="8"/>
  <c r="C39" i="8"/>
  <c r="B39" i="8"/>
  <c r="B38" i="8"/>
  <c r="C37" i="8"/>
  <c r="G37" i="8" s="1"/>
  <c r="B37" i="8"/>
  <c r="C36" i="8"/>
  <c r="G36" i="8" s="1"/>
  <c r="B36" i="8"/>
  <c r="C35" i="8"/>
  <c r="B35" i="8"/>
  <c r="C34" i="8"/>
  <c r="B34" i="8"/>
  <c r="B33" i="8"/>
  <c r="C32" i="8"/>
  <c r="B32" i="8"/>
  <c r="B31" i="8"/>
  <c r="G30" i="8"/>
  <c r="F30" i="8"/>
  <c r="C30" i="8"/>
  <c r="B30" i="8"/>
  <c r="C29" i="8"/>
  <c r="B29" i="8"/>
  <c r="B28" i="8"/>
  <c r="F27" i="8"/>
  <c r="C27" i="8"/>
  <c r="G27" i="8" s="1"/>
  <c r="B27" i="8"/>
  <c r="C26" i="8"/>
  <c r="G26" i="8" s="1"/>
  <c r="B26" i="8"/>
  <c r="C25" i="8"/>
  <c r="B25" i="8"/>
  <c r="C24" i="8"/>
  <c r="B24" i="8"/>
  <c r="B23" i="8"/>
  <c r="C22" i="8"/>
  <c r="B22" i="8"/>
  <c r="B21" i="8"/>
  <c r="G20" i="8"/>
  <c r="F20" i="8"/>
  <c r="C20" i="8"/>
  <c r="B20" i="8"/>
  <c r="C19" i="8"/>
  <c r="B19" i="8"/>
  <c r="B18" i="8"/>
  <c r="F17" i="8"/>
  <c r="C17" i="8"/>
  <c r="G17" i="8" s="1"/>
  <c r="B17" i="8"/>
  <c r="C16" i="8"/>
  <c r="G16" i="8" s="1"/>
  <c r="B16" i="8"/>
  <c r="C15" i="8"/>
  <c r="F15" i="8" s="1"/>
  <c r="B15" i="8"/>
  <c r="C14" i="8"/>
  <c r="B14" i="8"/>
  <c r="B13" i="8"/>
  <c r="C12" i="8"/>
  <c r="F12" i="8" s="1"/>
  <c r="B12" i="8"/>
  <c r="Q11" i="8"/>
  <c r="L11" i="8"/>
  <c r="C11" i="8"/>
  <c r="B11" i="8"/>
  <c r="B10" i="8"/>
  <c r="C9" i="8"/>
  <c r="B9" i="8"/>
  <c r="B8" i="8"/>
  <c r="D8" i="8" s="1"/>
  <c r="D9" i="8" s="1"/>
  <c r="D10" i="8" s="1"/>
  <c r="D11" i="8" s="1"/>
  <c r="D12" i="8" s="1"/>
  <c r="D13" i="8" s="1"/>
  <c r="D14" i="8" s="1"/>
  <c r="D15" i="8" s="1"/>
  <c r="D16" i="8" s="1"/>
  <c r="D17" i="8" s="1"/>
  <c r="D18" i="8" s="1"/>
  <c r="D19" i="8" s="1"/>
  <c r="D20" i="8" s="1"/>
  <c r="D21" i="8" s="1"/>
  <c r="D22" i="8" s="1"/>
  <c r="D23" i="8" s="1"/>
  <c r="D24" i="8" s="1"/>
  <c r="D25" i="8" s="1"/>
  <c r="D26" i="8" s="1"/>
  <c r="D27" i="8" s="1"/>
  <c r="D28" i="8" s="1"/>
  <c r="D29" i="8" s="1"/>
  <c r="D30" i="8" s="1"/>
  <c r="D31" i="8" s="1"/>
  <c r="D32" i="8" s="1"/>
  <c r="D33" i="8" s="1"/>
  <c r="D34" i="8" s="1"/>
  <c r="D35" i="8" s="1"/>
  <c r="D36" i="8" s="1"/>
  <c r="D37" i="8" s="1"/>
  <c r="D38" i="8" s="1"/>
  <c r="D39" i="8" s="1"/>
  <c r="D40" i="8" s="1"/>
  <c r="D41" i="8" s="1"/>
  <c r="D42" i="8" s="1"/>
  <c r="D43" i="8" s="1"/>
  <c r="D44" i="8" s="1"/>
  <c r="D45" i="8" s="1"/>
  <c r="D46" i="8" s="1"/>
  <c r="D47" i="8" s="1"/>
  <c r="D48" i="8" s="1"/>
  <c r="D49" i="8" s="1"/>
  <c r="D50" i="8" s="1"/>
  <c r="D51" i="8" s="1"/>
  <c r="D52" i="8" s="1"/>
  <c r="D53" i="8" s="1"/>
  <c r="D54" i="8" s="1"/>
  <c r="D55" i="8" s="1"/>
  <c r="D56" i="8" s="1"/>
  <c r="D57" i="8" s="1"/>
  <c r="D58" i="8" s="1"/>
  <c r="D59" i="8" s="1"/>
  <c r="D60" i="8" s="1"/>
  <c r="D61" i="8" s="1"/>
  <c r="D62" i="8" s="1"/>
  <c r="D63" i="8" s="1"/>
  <c r="D64" i="8" s="1"/>
  <c r="D65" i="8" s="1"/>
  <c r="D66" i="8" s="1"/>
  <c r="D67" i="8" s="1"/>
  <c r="F7" i="8"/>
  <c r="E7" i="8"/>
  <c r="D7" i="8"/>
  <c r="C7" i="8"/>
  <c r="B7" i="8"/>
  <c r="B5" i="8"/>
  <c r="C67" i="8" s="1"/>
  <c r="B68" i="7"/>
  <c r="C68" i="7"/>
  <c r="B69" i="7"/>
  <c r="C69" i="7"/>
  <c r="B70" i="7"/>
  <c r="C70" i="7"/>
  <c r="B71" i="7"/>
  <c r="C71" i="7"/>
  <c r="B72" i="7"/>
  <c r="C72" i="7"/>
  <c r="B73" i="7"/>
  <c r="C73" i="7"/>
  <c r="B74" i="7"/>
  <c r="C74" i="7"/>
  <c r="B75" i="7"/>
  <c r="C75" i="7"/>
  <c r="B76" i="7"/>
  <c r="C76" i="7"/>
  <c r="B77" i="7"/>
  <c r="C77" i="7"/>
  <c r="B78" i="7"/>
  <c r="C78" i="7"/>
  <c r="B79" i="7"/>
  <c r="F79" i="7" s="1"/>
  <c r="F78" i="7" s="1"/>
  <c r="F77" i="7" s="1"/>
  <c r="F76" i="7" s="1"/>
  <c r="F75" i="7" s="1"/>
  <c r="F74" i="7" s="1"/>
  <c r="F73" i="7" s="1"/>
  <c r="F72" i="7" s="1"/>
  <c r="F71" i="7" s="1"/>
  <c r="F70" i="7" s="1"/>
  <c r="F69" i="7" s="1"/>
  <c r="F68" i="7" s="1"/>
  <c r="C79" i="7"/>
  <c r="B67" i="7"/>
  <c r="C66" i="7"/>
  <c r="B66" i="7"/>
  <c r="C65" i="7"/>
  <c r="B65" i="7"/>
  <c r="C64" i="7"/>
  <c r="B64" i="7"/>
  <c r="B63" i="7"/>
  <c r="C62" i="7"/>
  <c r="B62" i="7"/>
  <c r="C61" i="7"/>
  <c r="B61" i="7"/>
  <c r="C60" i="7"/>
  <c r="B60" i="7"/>
  <c r="B59" i="7"/>
  <c r="C58" i="7"/>
  <c r="B58" i="7"/>
  <c r="C57" i="7"/>
  <c r="B57" i="7"/>
  <c r="C56" i="7"/>
  <c r="B56" i="7"/>
  <c r="B55" i="7"/>
  <c r="C54" i="7"/>
  <c r="B54" i="7"/>
  <c r="C53" i="7"/>
  <c r="B53" i="7"/>
  <c r="C52" i="7"/>
  <c r="B52" i="7"/>
  <c r="B51" i="7"/>
  <c r="C50" i="7"/>
  <c r="B50" i="7"/>
  <c r="C49" i="7"/>
  <c r="B49" i="7"/>
  <c r="C48" i="7"/>
  <c r="B48" i="7"/>
  <c r="B47" i="7"/>
  <c r="C46" i="7"/>
  <c r="B46" i="7"/>
  <c r="C45" i="7"/>
  <c r="B45" i="7"/>
  <c r="C44" i="7"/>
  <c r="B44" i="7"/>
  <c r="C43" i="7"/>
  <c r="G43" i="7" s="1"/>
  <c r="B43" i="7"/>
  <c r="C42" i="7"/>
  <c r="G42" i="7" s="1"/>
  <c r="B42" i="7"/>
  <c r="C41" i="7"/>
  <c r="B41" i="7"/>
  <c r="B40" i="7"/>
  <c r="C39" i="7"/>
  <c r="G39" i="7" s="1"/>
  <c r="B39" i="7"/>
  <c r="C38" i="7"/>
  <c r="B38" i="7"/>
  <c r="B37" i="7"/>
  <c r="C36" i="7"/>
  <c r="G36" i="7" s="1"/>
  <c r="B36" i="7"/>
  <c r="F35" i="7"/>
  <c r="C35" i="7"/>
  <c r="B35" i="7"/>
  <c r="C34" i="7"/>
  <c r="G34" i="7" s="1"/>
  <c r="B34" i="7"/>
  <c r="C33" i="7"/>
  <c r="G33" i="7" s="1"/>
  <c r="B33" i="7"/>
  <c r="F32" i="7"/>
  <c r="C32" i="7"/>
  <c r="G32" i="7" s="1"/>
  <c r="B32" i="7"/>
  <c r="F31" i="7"/>
  <c r="C31" i="7"/>
  <c r="G31" i="7" s="1"/>
  <c r="B31" i="7"/>
  <c r="G30" i="7"/>
  <c r="C30" i="7"/>
  <c r="F30" i="7" s="1"/>
  <c r="B30" i="7"/>
  <c r="C29" i="7"/>
  <c r="G29" i="7" s="1"/>
  <c r="B29" i="7"/>
  <c r="C28" i="7"/>
  <c r="B28" i="7"/>
  <c r="B27" i="7"/>
  <c r="C26" i="7"/>
  <c r="G26" i="7" s="1"/>
  <c r="B26" i="7"/>
  <c r="F25" i="7"/>
  <c r="C25" i="7"/>
  <c r="B25" i="7"/>
  <c r="C24" i="7"/>
  <c r="G25" i="7" s="1"/>
  <c r="B24" i="7"/>
  <c r="C23" i="7"/>
  <c r="G23" i="7" s="1"/>
  <c r="B23" i="7"/>
  <c r="F22" i="7"/>
  <c r="C22" i="7"/>
  <c r="G22" i="7" s="1"/>
  <c r="B22" i="7"/>
  <c r="F21" i="7"/>
  <c r="C21" i="7"/>
  <c r="G21" i="7" s="1"/>
  <c r="B21" i="7"/>
  <c r="G20" i="7"/>
  <c r="C20" i="7"/>
  <c r="F20" i="7" s="1"/>
  <c r="B20" i="7"/>
  <c r="C19" i="7"/>
  <c r="G19" i="7" s="1"/>
  <c r="B19" i="7"/>
  <c r="C18" i="7"/>
  <c r="B18" i="7"/>
  <c r="B17" i="7"/>
  <c r="C16" i="7"/>
  <c r="G16" i="7" s="1"/>
  <c r="B16" i="7"/>
  <c r="F15" i="7"/>
  <c r="C15" i="7"/>
  <c r="B15" i="7"/>
  <c r="C14" i="7"/>
  <c r="F14" i="7" s="1"/>
  <c r="B14" i="7"/>
  <c r="C13" i="7"/>
  <c r="G13" i="7" s="1"/>
  <c r="B13" i="7"/>
  <c r="F12" i="7"/>
  <c r="C12" i="7"/>
  <c r="G12" i="7" s="1"/>
  <c r="B12" i="7"/>
  <c r="F11" i="7"/>
  <c r="C11" i="7"/>
  <c r="G11" i="7" s="1"/>
  <c r="B11" i="7"/>
  <c r="G10" i="7"/>
  <c r="C10" i="7"/>
  <c r="F10" i="7" s="1"/>
  <c r="B10" i="7"/>
  <c r="C9" i="7"/>
  <c r="G9" i="7" s="1"/>
  <c r="B9" i="7"/>
  <c r="C8" i="7"/>
  <c r="B8" i="7"/>
  <c r="D7" i="7"/>
  <c r="D8" i="7" s="1"/>
  <c r="D9" i="7" s="1"/>
  <c r="D10" i="7" s="1"/>
  <c r="D11" i="7" s="1"/>
  <c r="D12" i="7" s="1"/>
  <c r="D13" i="7" s="1"/>
  <c r="B7" i="7"/>
  <c r="B5" i="7"/>
  <c r="C7" i="7" s="1"/>
  <c r="Q11" i="2"/>
  <c r="L11" i="2"/>
  <c r="Q12" i="5"/>
  <c r="L12" i="5"/>
  <c r="Q11" i="6"/>
  <c r="L11" i="6"/>
  <c r="F35" i="4"/>
  <c r="F34" i="4"/>
  <c r="F33" i="4"/>
  <c r="F32" i="4"/>
  <c r="F31" i="4"/>
  <c r="F30" i="4"/>
  <c r="F29" i="4"/>
  <c r="F28" i="4"/>
  <c r="F27" i="4"/>
  <c r="F26" i="4"/>
  <c r="F25" i="4"/>
  <c r="F24" i="4"/>
  <c r="F23" i="4"/>
  <c r="F22" i="4"/>
  <c r="F21" i="4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50" i="3"/>
  <c r="F49" i="3" s="1"/>
  <c r="F48" i="3" s="1"/>
  <c r="F47" i="3" s="1"/>
  <c r="F46" i="3" s="1"/>
  <c r="F45" i="3" s="1"/>
  <c r="F44" i="3"/>
  <c r="F43" i="3" s="1"/>
  <c r="F42" i="3" s="1"/>
  <c r="F41" i="3" s="1"/>
  <c r="F40" i="3" s="1"/>
  <c r="F39" i="3" s="1"/>
  <c r="F38" i="3" s="1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7" i="2"/>
  <c r="F66" i="2" s="1"/>
  <c r="F65" i="2" s="1"/>
  <c r="F64" i="2" s="1"/>
  <c r="F63" i="2" s="1"/>
  <c r="F62" i="2" s="1"/>
  <c r="F61" i="2" s="1"/>
  <c r="F60" i="2" s="1"/>
  <c r="F59" i="2" s="1"/>
  <c r="F58" i="2" s="1"/>
  <c r="F57" i="2" s="1"/>
  <c r="F56" i="2" s="1"/>
  <c r="F55" i="2" s="1"/>
  <c r="F54" i="2" s="1"/>
  <c r="F53" i="2" s="1"/>
  <c r="F52" i="2" s="1"/>
  <c r="F51" i="2" s="1"/>
  <c r="F50" i="2" s="1"/>
  <c r="F49" i="2" s="1"/>
  <c r="F48" i="2" s="1"/>
  <c r="F47" i="2" s="1"/>
  <c r="F46" i="2" s="1"/>
  <c r="F45" i="2" s="1"/>
  <c r="F44" i="2" s="1"/>
  <c r="F43" i="2" s="1"/>
  <c r="F42" i="2" s="1"/>
  <c r="F41" i="2" s="1"/>
  <c r="F40" i="2" s="1"/>
  <c r="F39" i="2" s="1"/>
  <c r="F38" i="2" s="1"/>
  <c r="F37" i="2" s="1"/>
  <c r="F36" i="2" s="1"/>
  <c r="F35" i="2" s="1"/>
  <c r="F34" i="2" s="1"/>
  <c r="F33" i="2" s="1"/>
  <c r="F32" i="2" s="1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8" i="6"/>
  <c r="F7" i="6"/>
  <c r="F18" i="5"/>
  <c r="F17" i="5"/>
  <c r="F16" i="5"/>
  <c r="F15" i="5"/>
  <c r="F14" i="5"/>
  <c r="F13" i="5"/>
  <c r="F12" i="5"/>
  <c r="F11" i="5"/>
  <c r="F10" i="5"/>
  <c r="F9" i="5"/>
  <c r="F8" i="5"/>
  <c r="F7" i="5"/>
  <c r="L13" i="1"/>
  <c r="Q13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67" i="1"/>
  <c r="F66" i="1" s="1"/>
  <c r="F65" i="1" s="1"/>
  <c r="F64" i="1" s="1"/>
  <c r="F63" i="1" s="1"/>
  <c r="F62" i="1" s="1"/>
  <c r="F61" i="1" s="1"/>
  <c r="F60" i="1" s="1"/>
  <c r="F59" i="1" s="1"/>
  <c r="F58" i="1" s="1"/>
  <c r="F57" i="1" s="1"/>
  <c r="F56" i="1" s="1"/>
  <c r="F55" i="1" s="1"/>
  <c r="F54" i="1" s="1"/>
  <c r="F53" i="1" s="1"/>
  <c r="F52" i="1" s="1"/>
  <c r="F51" i="1" s="1"/>
  <c r="F50" i="1" s="1"/>
  <c r="F49" i="1" s="1"/>
  <c r="F48" i="1" s="1"/>
  <c r="F47" i="1" s="1"/>
  <c r="F46" i="1" s="1"/>
  <c r="F45" i="1" s="1"/>
  <c r="F44" i="1" s="1"/>
  <c r="F43" i="1" s="1"/>
  <c r="F42" i="1" s="1"/>
  <c r="F41" i="1" s="1"/>
  <c r="F40" i="1" s="1"/>
  <c r="F39" i="1" s="1"/>
  <c r="F38" i="1" s="1"/>
  <c r="F37" i="1" s="1"/>
  <c r="F36" i="1" s="1"/>
  <c r="F35" i="1" s="1"/>
  <c r="F34" i="1" s="1"/>
  <c r="F33" i="1" s="1"/>
  <c r="F32" i="1" s="1"/>
  <c r="B7" i="1"/>
  <c r="B67" i="6"/>
  <c r="F67" i="6" s="1"/>
  <c r="F66" i="6" s="1"/>
  <c r="F65" i="6" s="1"/>
  <c r="F64" i="6" s="1"/>
  <c r="F63" i="6" s="1"/>
  <c r="F62" i="6" s="1"/>
  <c r="F61" i="6" s="1"/>
  <c r="F60" i="6" s="1"/>
  <c r="F59" i="6" s="1"/>
  <c r="F58" i="6" s="1"/>
  <c r="F57" i="6" s="1"/>
  <c r="F56" i="6" s="1"/>
  <c r="F55" i="6" s="1"/>
  <c r="F54" i="6" s="1"/>
  <c r="F53" i="6" s="1"/>
  <c r="F52" i="6" s="1"/>
  <c r="F51" i="6" s="1"/>
  <c r="F50" i="6" s="1"/>
  <c r="F49" i="6" s="1"/>
  <c r="F48" i="6" s="1"/>
  <c r="F47" i="6" s="1"/>
  <c r="F46" i="6" s="1"/>
  <c r="F45" i="6" s="1"/>
  <c r="F44" i="6" s="1"/>
  <c r="F43" i="6" s="1"/>
  <c r="F42" i="6" s="1"/>
  <c r="F41" i="6" s="1"/>
  <c r="F40" i="6" s="1"/>
  <c r="F39" i="6" s="1"/>
  <c r="F38" i="6" s="1"/>
  <c r="F37" i="6" s="1"/>
  <c r="F36" i="6" s="1"/>
  <c r="F35" i="6" s="1"/>
  <c r="F34" i="6" s="1"/>
  <c r="F33" i="6" s="1"/>
  <c r="F32" i="6" s="1"/>
  <c r="F31" i="6" s="1"/>
  <c r="F30" i="6" s="1"/>
  <c r="F29" i="6" s="1"/>
  <c r="F28" i="6" s="1"/>
  <c r="F27" i="6" s="1"/>
  <c r="F26" i="6" s="1"/>
  <c r="F25" i="6" s="1"/>
  <c r="F24" i="6" s="1"/>
  <c r="F23" i="6" s="1"/>
  <c r="F22" i="6" s="1"/>
  <c r="F21" i="6" s="1"/>
  <c r="F20" i="6" s="1"/>
  <c r="F19" i="6" s="1"/>
  <c r="F18" i="6" s="1"/>
  <c r="F17" i="6" s="1"/>
  <c r="F16" i="6" s="1"/>
  <c r="F15" i="6" s="1"/>
  <c r="F14" i="6" s="1"/>
  <c r="F13" i="6" s="1"/>
  <c r="F12" i="6" s="1"/>
  <c r="F11" i="6" s="1"/>
  <c r="F10" i="6" s="1"/>
  <c r="F9" i="6" s="1"/>
  <c r="C66" i="6"/>
  <c r="B66" i="6"/>
  <c r="C65" i="6"/>
  <c r="B65" i="6"/>
  <c r="B64" i="6"/>
  <c r="C63" i="6"/>
  <c r="B63" i="6"/>
  <c r="C62" i="6"/>
  <c r="B62" i="6"/>
  <c r="C61" i="6"/>
  <c r="B61" i="6"/>
  <c r="B60" i="6"/>
  <c r="C59" i="6"/>
  <c r="B59" i="6"/>
  <c r="C58" i="6"/>
  <c r="B58" i="6"/>
  <c r="C57" i="6"/>
  <c r="B57" i="6"/>
  <c r="B56" i="6"/>
  <c r="B55" i="6"/>
  <c r="B54" i="6"/>
  <c r="C53" i="6"/>
  <c r="B53" i="6"/>
  <c r="B52" i="6"/>
  <c r="C51" i="6"/>
  <c r="B51" i="6"/>
  <c r="C50" i="6"/>
  <c r="B50" i="6"/>
  <c r="C49" i="6"/>
  <c r="B49" i="6"/>
  <c r="B48" i="6"/>
  <c r="C47" i="6"/>
  <c r="B47" i="6"/>
  <c r="C46" i="6"/>
  <c r="B46" i="6"/>
  <c r="B45" i="6"/>
  <c r="B44" i="6"/>
  <c r="B43" i="6"/>
  <c r="C42" i="6"/>
  <c r="B42" i="6"/>
  <c r="B41" i="6"/>
  <c r="C40" i="6"/>
  <c r="B40" i="6"/>
  <c r="C39" i="6"/>
  <c r="G39" i="6" s="1"/>
  <c r="B39" i="6"/>
  <c r="B38" i="6"/>
  <c r="B37" i="6"/>
  <c r="C36" i="6"/>
  <c r="B36" i="6"/>
  <c r="C35" i="6"/>
  <c r="B35" i="6"/>
  <c r="B34" i="6"/>
  <c r="C33" i="6"/>
  <c r="B33" i="6"/>
  <c r="B32" i="6"/>
  <c r="B31" i="6"/>
  <c r="C30" i="6"/>
  <c r="G30" i="6" s="1"/>
  <c r="B30" i="6"/>
  <c r="C29" i="6"/>
  <c r="B29" i="6"/>
  <c r="B28" i="6"/>
  <c r="B27" i="6"/>
  <c r="C26" i="6"/>
  <c r="B26" i="6"/>
  <c r="C25" i="6"/>
  <c r="B25" i="6"/>
  <c r="B24" i="6"/>
  <c r="C23" i="6"/>
  <c r="B23" i="6"/>
  <c r="C22" i="6"/>
  <c r="B22" i="6"/>
  <c r="B21" i="6"/>
  <c r="B20" i="6"/>
  <c r="B19" i="6"/>
  <c r="B18" i="6"/>
  <c r="B17" i="6"/>
  <c r="C16" i="6"/>
  <c r="G16" i="6" s="1"/>
  <c r="B16" i="6"/>
  <c r="C15" i="6"/>
  <c r="B15" i="6"/>
  <c r="B14" i="6"/>
  <c r="C13" i="6"/>
  <c r="B13" i="6"/>
  <c r="C12" i="6"/>
  <c r="B12" i="6"/>
  <c r="B11" i="6"/>
  <c r="C10" i="6"/>
  <c r="B10" i="6"/>
  <c r="C9" i="6"/>
  <c r="B9" i="6"/>
  <c r="B8" i="6"/>
  <c r="B7" i="6"/>
  <c r="D7" i="6" s="1"/>
  <c r="D8" i="6" s="1"/>
  <c r="B5" i="6"/>
  <c r="C38" i="6" s="1"/>
  <c r="B67" i="5"/>
  <c r="B66" i="5"/>
  <c r="C65" i="5"/>
  <c r="B65" i="5"/>
  <c r="B64" i="5"/>
  <c r="B63" i="5"/>
  <c r="B62" i="5"/>
  <c r="B61" i="5"/>
  <c r="B60" i="5"/>
  <c r="B59" i="5"/>
  <c r="B58" i="5"/>
  <c r="C57" i="5"/>
  <c r="B57" i="5"/>
  <c r="B56" i="5"/>
  <c r="B55" i="5"/>
  <c r="B54" i="5"/>
  <c r="B53" i="5"/>
  <c r="B52" i="5"/>
  <c r="B51" i="5"/>
  <c r="B50" i="5"/>
  <c r="C49" i="5"/>
  <c r="B49" i="5"/>
  <c r="B48" i="5"/>
  <c r="B47" i="5"/>
  <c r="B46" i="5"/>
  <c r="B45" i="5"/>
  <c r="B44" i="5"/>
  <c r="B43" i="5"/>
  <c r="C42" i="5"/>
  <c r="B42" i="5"/>
  <c r="B41" i="5"/>
  <c r="B40" i="5"/>
  <c r="C39" i="5"/>
  <c r="G39" i="5" s="1"/>
  <c r="B39" i="5"/>
  <c r="B38" i="5"/>
  <c r="B37" i="5"/>
  <c r="B36" i="5"/>
  <c r="B35" i="5"/>
  <c r="B34" i="5"/>
  <c r="B33" i="5"/>
  <c r="C32" i="5"/>
  <c r="B32" i="5"/>
  <c r="B31" i="5"/>
  <c r="B30" i="5"/>
  <c r="C29" i="5"/>
  <c r="B29" i="5"/>
  <c r="B28" i="5"/>
  <c r="B27" i="5"/>
  <c r="B26" i="5"/>
  <c r="C25" i="5"/>
  <c r="B25" i="5"/>
  <c r="B24" i="5"/>
  <c r="B23" i="5"/>
  <c r="B22" i="5"/>
  <c r="B21" i="5"/>
  <c r="B20" i="5"/>
  <c r="C19" i="5"/>
  <c r="B19" i="5"/>
  <c r="B18" i="5"/>
  <c r="B17" i="5"/>
  <c r="C16" i="5"/>
  <c r="B16" i="5"/>
  <c r="C15" i="5"/>
  <c r="B15" i="5"/>
  <c r="B14" i="5"/>
  <c r="B13" i="5"/>
  <c r="C12" i="5"/>
  <c r="B12" i="5"/>
  <c r="B11" i="5"/>
  <c r="B10" i="5"/>
  <c r="B9" i="5"/>
  <c r="B8" i="5"/>
  <c r="B7" i="5"/>
  <c r="D7" i="5" s="1"/>
  <c r="D8" i="5" s="1"/>
  <c r="D9" i="5" s="1"/>
  <c r="B5" i="5"/>
  <c r="C38" i="5" s="1"/>
  <c r="B67" i="4"/>
  <c r="F67" i="4" s="1"/>
  <c r="C66" i="4"/>
  <c r="B66" i="4"/>
  <c r="C65" i="4"/>
  <c r="B65" i="4"/>
  <c r="B64" i="4"/>
  <c r="B63" i="4"/>
  <c r="B62" i="4"/>
  <c r="C61" i="4"/>
  <c r="B61" i="4"/>
  <c r="B60" i="4"/>
  <c r="B59" i="4"/>
  <c r="C58" i="4"/>
  <c r="B58" i="4"/>
  <c r="B57" i="4"/>
  <c r="B56" i="4"/>
  <c r="B55" i="4"/>
  <c r="C54" i="4"/>
  <c r="B54" i="4"/>
  <c r="C53" i="4"/>
  <c r="B53" i="4"/>
  <c r="B52" i="4"/>
  <c r="B51" i="4"/>
  <c r="B50" i="4"/>
  <c r="C49" i="4"/>
  <c r="B49" i="4"/>
  <c r="B48" i="4"/>
  <c r="B47" i="4"/>
  <c r="C46" i="4"/>
  <c r="B46" i="4"/>
  <c r="C45" i="4"/>
  <c r="B45" i="4"/>
  <c r="B44" i="4"/>
  <c r="B43" i="4"/>
  <c r="B42" i="4"/>
  <c r="B41" i="4"/>
  <c r="B40" i="4"/>
  <c r="C39" i="4"/>
  <c r="B39" i="4"/>
  <c r="B38" i="4"/>
  <c r="B37" i="4"/>
  <c r="B36" i="4"/>
  <c r="B35" i="4"/>
  <c r="B34" i="4"/>
  <c r="B33" i="4"/>
  <c r="C32" i="4"/>
  <c r="B32" i="4"/>
  <c r="B31" i="4"/>
  <c r="B30" i="4"/>
  <c r="B29" i="4"/>
  <c r="B28" i="4"/>
  <c r="B27" i="4"/>
  <c r="B26" i="4"/>
  <c r="C25" i="4"/>
  <c r="B25" i="4"/>
  <c r="B24" i="4"/>
  <c r="B23" i="4"/>
  <c r="B22" i="4"/>
  <c r="B21" i="4"/>
  <c r="B20" i="4"/>
  <c r="C19" i="4"/>
  <c r="B19" i="4"/>
  <c r="B18" i="4"/>
  <c r="B17" i="4"/>
  <c r="C16" i="4"/>
  <c r="B16" i="4"/>
  <c r="B15" i="4"/>
  <c r="B14" i="4"/>
  <c r="B13" i="4"/>
  <c r="B12" i="4"/>
  <c r="B11" i="4"/>
  <c r="B10" i="4"/>
  <c r="C9" i="4"/>
  <c r="B9" i="4"/>
  <c r="B8" i="4"/>
  <c r="B7" i="4"/>
  <c r="D7" i="4" s="1"/>
  <c r="B5" i="4"/>
  <c r="C38" i="4" s="1"/>
  <c r="B50" i="3"/>
  <c r="C49" i="3"/>
  <c r="B49" i="3"/>
  <c r="B48" i="3"/>
  <c r="B47" i="3"/>
  <c r="B46" i="3"/>
  <c r="B45" i="3"/>
  <c r="B44" i="3"/>
  <c r="B43" i="3"/>
  <c r="C42" i="3"/>
  <c r="B42" i="3"/>
  <c r="B41" i="3"/>
  <c r="B40" i="3"/>
  <c r="C39" i="3"/>
  <c r="B39" i="3"/>
  <c r="B38" i="3"/>
  <c r="B37" i="3"/>
  <c r="B36" i="3"/>
  <c r="B35" i="3"/>
  <c r="B34" i="3"/>
  <c r="B33" i="3"/>
  <c r="B32" i="3"/>
  <c r="B31" i="3"/>
  <c r="B30" i="3"/>
  <c r="C29" i="3"/>
  <c r="B29" i="3"/>
  <c r="B28" i="3"/>
  <c r="B27" i="3"/>
  <c r="B26" i="3"/>
  <c r="C25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C12" i="3"/>
  <c r="B12" i="3"/>
  <c r="B11" i="3"/>
  <c r="B10" i="3"/>
  <c r="C9" i="3"/>
  <c r="B9" i="3"/>
  <c r="B8" i="3"/>
  <c r="B7" i="3"/>
  <c r="D7" i="3" s="1"/>
  <c r="D8" i="3" s="1"/>
  <c r="B5" i="3"/>
  <c r="C38" i="3" s="1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C7" i="2"/>
  <c r="B7" i="2"/>
  <c r="D7" i="2" s="1"/>
  <c r="D8" i="2" s="1"/>
  <c r="D9" i="2" s="1"/>
  <c r="D10" i="2" s="1"/>
  <c r="D11" i="2" s="1"/>
  <c r="D12" i="2" s="1"/>
  <c r="D13" i="2" s="1"/>
  <c r="D14" i="2" s="1"/>
  <c r="D15" i="2" s="1"/>
  <c r="D16" i="2" s="1"/>
  <c r="D17" i="2" s="1"/>
  <c r="D18" i="2" s="1"/>
  <c r="D19" i="2" s="1"/>
  <c r="D20" i="2" s="1"/>
  <c r="D21" i="2" s="1"/>
  <c r="D22" i="2" s="1"/>
  <c r="D23" i="2" s="1"/>
  <c r="D24" i="2" s="1"/>
  <c r="D25" i="2" s="1"/>
  <c r="D26" i="2" s="1"/>
  <c r="D27" i="2" s="1"/>
  <c r="D28" i="2" s="1"/>
  <c r="D29" i="2" s="1"/>
  <c r="D30" i="2" s="1"/>
  <c r="D31" i="2" s="1"/>
  <c r="D32" i="2" s="1"/>
  <c r="D33" i="2" s="1"/>
  <c r="D34" i="2" s="1"/>
  <c r="D35" i="2" s="1"/>
  <c r="D36" i="2" s="1"/>
  <c r="D37" i="2" s="1"/>
  <c r="D38" i="2" s="1"/>
  <c r="D39" i="2" s="1"/>
  <c r="D40" i="2" s="1"/>
  <c r="D41" i="2" s="1"/>
  <c r="D42" i="2" s="1"/>
  <c r="D43" i="2" s="1"/>
  <c r="D44" i="2" s="1"/>
  <c r="D45" i="2" s="1"/>
  <c r="D46" i="2" s="1"/>
  <c r="D47" i="2" s="1"/>
  <c r="D48" i="2" s="1"/>
  <c r="D49" i="2" s="1"/>
  <c r="D50" i="2" s="1"/>
  <c r="D51" i="2" s="1"/>
  <c r="D52" i="2" s="1"/>
  <c r="D53" i="2" s="1"/>
  <c r="D54" i="2" s="1"/>
  <c r="D55" i="2" s="1"/>
  <c r="D56" i="2" s="1"/>
  <c r="D57" i="2" s="1"/>
  <c r="D58" i="2" s="1"/>
  <c r="D59" i="2" s="1"/>
  <c r="D60" i="2" s="1"/>
  <c r="D61" i="2" s="1"/>
  <c r="D62" i="2" s="1"/>
  <c r="D63" i="2" s="1"/>
  <c r="D64" i="2" s="1"/>
  <c r="D65" i="2" s="1"/>
  <c r="D66" i="2" s="1"/>
  <c r="D67" i="2" s="1"/>
  <c r="B5" i="2"/>
  <c r="C38" i="2" s="1"/>
  <c r="G14" i="1"/>
  <c r="G15" i="1"/>
  <c r="G16" i="1"/>
  <c r="G17" i="1"/>
  <c r="G18" i="1"/>
  <c r="G28" i="1"/>
  <c r="G38" i="1"/>
  <c r="G39" i="1"/>
  <c r="G40" i="1"/>
  <c r="G41" i="1"/>
  <c r="G42" i="1"/>
  <c r="C8" i="1"/>
  <c r="C9" i="1"/>
  <c r="G9" i="1" s="1"/>
  <c r="C13" i="1"/>
  <c r="C14" i="1"/>
  <c r="C15" i="1"/>
  <c r="C16" i="1"/>
  <c r="C17" i="1"/>
  <c r="C18" i="1"/>
  <c r="C19" i="1"/>
  <c r="C20" i="1"/>
  <c r="G20" i="1" s="1"/>
  <c r="C21" i="1"/>
  <c r="G21" i="1" s="1"/>
  <c r="C22" i="1"/>
  <c r="G22" i="1" s="1"/>
  <c r="C23" i="1"/>
  <c r="G23" i="1" s="1"/>
  <c r="C24" i="1"/>
  <c r="G24" i="1" s="1"/>
  <c r="C25" i="1"/>
  <c r="C26" i="1"/>
  <c r="C27" i="1"/>
  <c r="C28" i="1"/>
  <c r="C29" i="1"/>
  <c r="C30" i="1"/>
  <c r="C31" i="1"/>
  <c r="C32" i="1"/>
  <c r="C33" i="1"/>
  <c r="G33" i="1" s="1"/>
  <c r="C37" i="1"/>
  <c r="C38" i="1"/>
  <c r="C39" i="1"/>
  <c r="C40" i="1"/>
  <c r="C41" i="1"/>
  <c r="C42" i="1"/>
  <c r="C43" i="1"/>
  <c r="C44" i="1"/>
  <c r="G44" i="1" s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61" i="1"/>
  <c r="C62" i="1"/>
  <c r="C63" i="1"/>
  <c r="C64" i="1"/>
  <c r="C65" i="1"/>
  <c r="C66" i="1"/>
  <c r="C67" i="1"/>
  <c r="C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5" i="1"/>
  <c r="C10" i="1" s="1"/>
  <c r="G30" i="13" l="1"/>
  <c r="C17" i="13"/>
  <c r="C27" i="13"/>
  <c r="C37" i="13"/>
  <c r="C7" i="13"/>
  <c r="F10" i="13"/>
  <c r="F20" i="13"/>
  <c r="F30" i="13"/>
  <c r="C14" i="13"/>
  <c r="C24" i="13"/>
  <c r="C34" i="13"/>
  <c r="C11" i="13"/>
  <c r="C21" i="13"/>
  <c r="C31" i="13"/>
  <c r="C8" i="13"/>
  <c r="C18" i="13"/>
  <c r="C28" i="13"/>
  <c r="C38" i="13"/>
  <c r="C15" i="13"/>
  <c r="C25" i="13"/>
  <c r="C35" i="13"/>
  <c r="C12" i="13"/>
  <c r="C22" i="13"/>
  <c r="C32" i="13"/>
  <c r="C9" i="13"/>
  <c r="G10" i="13" s="1"/>
  <c r="C19" i="13"/>
  <c r="C29" i="13"/>
  <c r="C16" i="13"/>
  <c r="C26" i="13"/>
  <c r="C36" i="13"/>
  <c r="C13" i="13"/>
  <c r="C23" i="13"/>
  <c r="C33" i="13"/>
  <c r="G28" i="12"/>
  <c r="F24" i="12"/>
  <c r="F34" i="12"/>
  <c r="G8" i="12"/>
  <c r="G24" i="12"/>
  <c r="F18" i="12"/>
  <c r="F28" i="12"/>
  <c r="F12" i="12"/>
  <c r="F15" i="12"/>
  <c r="F25" i="12"/>
  <c r="F35" i="12"/>
  <c r="G11" i="12"/>
  <c r="G14" i="12"/>
  <c r="F9" i="12"/>
  <c r="F22" i="12"/>
  <c r="F32" i="12"/>
  <c r="C36" i="12"/>
  <c r="F19" i="12"/>
  <c r="F29" i="12"/>
  <c r="C10" i="12"/>
  <c r="C23" i="12"/>
  <c r="C33" i="12"/>
  <c r="F13" i="12"/>
  <c r="F16" i="12"/>
  <c r="F26" i="12"/>
  <c r="F11" i="12"/>
  <c r="C20" i="12"/>
  <c r="C30" i="12"/>
  <c r="G31" i="12" s="1"/>
  <c r="C7" i="12"/>
  <c r="C17" i="12"/>
  <c r="C27" i="12"/>
  <c r="E7" i="11"/>
  <c r="F7" i="11"/>
  <c r="G11" i="11"/>
  <c r="G26" i="11"/>
  <c r="G41" i="11"/>
  <c r="F14" i="11"/>
  <c r="F24" i="11"/>
  <c r="F34" i="11"/>
  <c r="F44" i="11"/>
  <c r="C8" i="11"/>
  <c r="C18" i="11"/>
  <c r="C28" i="11"/>
  <c r="C38" i="11"/>
  <c r="F11" i="11"/>
  <c r="F21" i="11"/>
  <c r="F31" i="11"/>
  <c r="F41" i="11"/>
  <c r="C15" i="11"/>
  <c r="C25" i="11"/>
  <c r="C35" i="11"/>
  <c r="G36" i="11" s="1"/>
  <c r="C45" i="11"/>
  <c r="C49" i="11"/>
  <c r="C53" i="11"/>
  <c r="C57" i="11"/>
  <c r="C61" i="11"/>
  <c r="C65" i="11"/>
  <c r="C9" i="11"/>
  <c r="C19" i="11"/>
  <c r="C29" i="11"/>
  <c r="C39" i="11"/>
  <c r="F16" i="11"/>
  <c r="F26" i="11"/>
  <c r="F36" i="11"/>
  <c r="C10" i="11"/>
  <c r="G16" i="11"/>
  <c r="C20" i="11"/>
  <c r="C30" i="11"/>
  <c r="G31" i="11" s="1"/>
  <c r="C40" i="11"/>
  <c r="C47" i="11"/>
  <c r="C51" i="11"/>
  <c r="C55" i="11"/>
  <c r="C59" i="11"/>
  <c r="C63" i="11"/>
  <c r="C67" i="11"/>
  <c r="F13" i="11"/>
  <c r="F23" i="11"/>
  <c r="F33" i="11"/>
  <c r="F43" i="11"/>
  <c r="C17" i="11"/>
  <c r="C27" i="11"/>
  <c r="C37" i="11"/>
  <c r="D22" i="9"/>
  <c r="D23" i="9" s="1"/>
  <c r="D24" i="9" s="1"/>
  <c r="D25" i="9" s="1"/>
  <c r="D26" i="9" s="1"/>
  <c r="D27" i="9" s="1"/>
  <c r="D28" i="9" s="1"/>
  <c r="D29" i="9" s="1"/>
  <c r="D30" i="9" s="1"/>
  <c r="D31" i="9" s="1"/>
  <c r="D32" i="9" s="1"/>
  <c r="D33" i="9" s="1"/>
  <c r="D34" i="9" s="1"/>
  <c r="D35" i="9" s="1"/>
  <c r="D36" i="9" s="1"/>
  <c r="D37" i="9" s="1"/>
  <c r="D38" i="9" s="1"/>
  <c r="D39" i="9" s="1"/>
  <c r="D40" i="9" s="1"/>
  <c r="D41" i="9" s="1"/>
  <c r="D42" i="9" s="1"/>
  <c r="D43" i="9" s="1"/>
  <c r="D44" i="9" s="1"/>
  <c r="D45" i="9" s="1"/>
  <c r="D46" i="9" s="1"/>
  <c r="D47" i="9" s="1"/>
  <c r="D48" i="9" s="1"/>
  <c r="D49" i="9" s="1"/>
  <c r="D50" i="9" s="1"/>
  <c r="D51" i="9" s="1"/>
  <c r="D52" i="9" s="1"/>
  <c r="D53" i="9" s="1"/>
  <c r="D54" i="9" s="1"/>
  <c r="D55" i="9" s="1"/>
  <c r="D56" i="9" s="1"/>
  <c r="D57" i="9" s="1"/>
  <c r="D58" i="9" s="1"/>
  <c r="D59" i="9" s="1"/>
  <c r="D60" i="9" s="1"/>
  <c r="D61" i="9" s="1"/>
  <c r="D62" i="9" s="1"/>
  <c r="D63" i="9" s="1"/>
  <c r="D64" i="9" s="1"/>
  <c r="D65" i="9" s="1"/>
  <c r="D66" i="9" s="1"/>
  <c r="D67" i="9" s="1"/>
  <c r="C18" i="9"/>
  <c r="C56" i="9"/>
  <c r="C31" i="9"/>
  <c r="C8" i="9"/>
  <c r="F8" i="9" s="1"/>
  <c r="C19" i="9"/>
  <c r="C44" i="9"/>
  <c r="C57" i="9"/>
  <c r="C42" i="9"/>
  <c r="G42" i="9" s="1"/>
  <c r="C32" i="9"/>
  <c r="G32" i="9" s="1"/>
  <c r="C9" i="9"/>
  <c r="G9" i="9" s="1"/>
  <c r="C45" i="9"/>
  <c r="C21" i="9"/>
  <c r="F21" i="9" s="1"/>
  <c r="C34" i="9"/>
  <c r="C60" i="9"/>
  <c r="C11" i="9"/>
  <c r="C22" i="9"/>
  <c r="G22" i="9" s="1"/>
  <c r="G29" i="9"/>
  <c r="C35" i="9"/>
  <c r="G35" i="9" s="1"/>
  <c r="C48" i="9"/>
  <c r="C61" i="9"/>
  <c r="C12" i="9"/>
  <c r="C24" i="9"/>
  <c r="C49" i="9"/>
  <c r="C25" i="9"/>
  <c r="C38" i="9"/>
  <c r="C64" i="9"/>
  <c r="C14" i="9"/>
  <c r="F14" i="9" s="1"/>
  <c r="C39" i="9"/>
  <c r="G39" i="9" s="1"/>
  <c r="C52" i="9"/>
  <c r="C65" i="9"/>
  <c r="C15" i="9"/>
  <c r="C28" i="9"/>
  <c r="C53" i="9"/>
  <c r="G41" i="9"/>
  <c r="G24" i="9"/>
  <c r="G11" i="9"/>
  <c r="G38" i="9"/>
  <c r="G34" i="9"/>
  <c r="F11" i="9"/>
  <c r="F24" i="9"/>
  <c r="F18" i="9"/>
  <c r="F12" i="9"/>
  <c r="F22" i="9"/>
  <c r="C46" i="9"/>
  <c r="C50" i="9"/>
  <c r="C54" i="9"/>
  <c r="C58" i="9"/>
  <c r="C62" i="9"/>
  <c r="C66" i="9"/>
  <c r="C13" i="9"/>
  <c r="C16" i="9"/>
  <c r="C26" i="9"/>
  <c r="C36" i="9"/>
  <c r="C10" i="9"/>
  <c r="C23" i="9"/>
  <c r="C33" i="9"/>
  <c r="C43" i="9"/>
  <c r="C20" i="9"/>
  <c r="C30" i="9"/>
  <c r="C40" i="9"/>
  <c r="C47" i="9"/>
  <c r="C51" i="9"/>
  <c r="C55" i="9"/>
  <c r="C59" i="9"/>
  <c r="C63" i="9"/>
  <c r="C67" i="9"/>
  <c r="C7" i="9"/>
  <c r="G8" i="9" s="1"/>
  <c r="C17" i="9"/>
  <c r="G18" i="9" s="1"/>
  <c r="C27" i="9"/>
  <c r="G28" i="9" s="1"/>
  <c r="D14" i="7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D56" i="7" s="1"/>
  <c r="D57" i="7" s="1"/>
  <c r="D58" i="7" s="1"/>
  <c r="D59" i="7" s="1"/>
  <c r="D60" i="7" s="1"/>
  <c r="D61" i="7" s="1"/>
  <c r="D62" i="7" s="1"/>
  <c r="D63" i="7" s="1"/>
  <c r="D64" i="7" s="1"/>
  <c r="D65" i="7" s="1"/>
  <c r="D66" i="7" s="1"/>
  <c r="D67" i="7" s="1"/>
  <c r="D68" i="7" s="1"/>
  <c r="D69" i="7" s="1"/>
  <c r="D70" i="7" s="1"/>
  <c r="D71" i="7" s="1"/>
  <c r="D72" i="7" s="1"/>
  <c r="D73" i="7" s="1"/>
  <c r="D74" i="7" s="1"/>
  <c r="D75" i="7" s="1"/>
  <c r="D76" i="7" s="1"/>
  <c r="D77" i="7" s="1"/>
  <c r="D78" i="7" s="1"/>
  <c r="D79" i="7" s="1"/>
  <c r="F66" i="4"/>
  <c r="F65" i="4" s="1"/>
  <c r="F64" i="4" s="1"/>
  <c r="F63" i="4" s="1"/>
  <c r="F62" i="4" s="1"/>
  <c r="F61" i="4" s="1"/>
  <c r="F60" i="4" s="1"/>
  <c r="F59" i="4" s="1"/>
  <c r="F58" i="4" s="1"/>
  <c r="F57" i="4" s="1"/>
  <c r="F56" i="4" s="1"/>
  <c r="F55" i="4" s="1"/>
  <c r="F54" i="4" s="1"/>
  <c r="F53" i="4" s="1"/>
  <c r="F52" i="4" s="1"/>
  <c r="F51" i="4" s="1"/>
  <c r="F50" i="4" s="1"/>
  <c r="F49" i="4" s="1"/>
  <c r="F48" i="4" s="1"/>
  <c r="F47" i="4" s="1"/>
  <c r="F46" i="4" s="1"/>
  <c r="F45" i="4" s="1"/>
  <c r="F44" i="4" s="1"/>
  <c r="F43" i="4" s="1"/>
  <c r="F42" i="4" s="1"/>
  <c r="F41" i="4" s="1"/>
  <c r="F40" i="4" s="1"/>
  <c r="F39" i="4" s="1"/>
  <c r="F38" i="4" s="1"/>
  <c r="F37" i="4" s="1"/>
  <c r="F36" i="4" s="1"/>
  <c r="D8" i="4"/>
  <c r="D9" i="4" s="1"/>
  <c r="D10" i="4" s="1"/>
  <c r="D11" i="4" s="1"/>
  <c r="D12" i="4" s="1"/>
  <c r="D13" i="4" s="1"/>
  <c r="D14" i="4" s="1"/>
  <c r="D15" i="4" s="1"/>
  <c r="D16" i="4" s="1"/>
  <c r="D17" i="4" s="1"/>
  <c r="D18" i="4" s="1"/>
  <c r="D19" i="4" s="1"/>
  <c r="D20" i="4" s="1"/>
  <c r="D21" i="4" s="1"/>
  <c r="D22" i="4" s="1"/>
  <c r="D23" i="4" s="1"/>
  <c r="D24" i="4" s="1"/>
  <c r="D25" i="4" s="1"/>
  <c r="D26" i="4" s="1"/>
  <c r="D27" i="4" s="1"/>
  <c r="D28" i="4" s="1"/>
  <c r="D29" i="4" s="1"/>
  <c r="D30" i="4" s="1"/>
  <c r="D31" i="4" s="1"/>
  <c r="D32" i="4" s="1"/>
  <c r="D33" i="4" s="1"/>
  <c r="D34" i="4" s="1"/>
  <c r="D35" i="4" s="1"/>
  <c r="D36" i="4" s="1"/>
  <c r="D37" i="4" s="1"/>
  <c r="D38" i="4" s="1"/>
  <c r="D39" i="4" s="1"/>
  <c r="D40" i="4" s="1"/>
  <c r="D41" i="4" s="1"/>
  <c r="D42" i="4" s="1"/>
  <c r="D43" i="4" s="1"/>
  <c r="D44" i="4" s="1"/>
  <c r="D45" i="4" s="1"/>
  <c r="D46" i="4" s="1"/>
  <c r="D47" i="4" s="1"/>
  <c r="D48" i="4" s="1"/>
  <c r="D49" i="4" s="1"/>
  <c r="D50" i="4" s="1"/>
  <c r="D51" i="4" s="1"/>
  <c r="D52" i="4" s="1"/>
  <c r="D53" i="4" s="1"/>
  <c r="D54" i="4" s="1"/>
  <c r="D55" i="4" s="1"/>
  <c r="D56" i="4" s="1"/>
  <c r="D57" i="4" s="1"/>
  <c r="D58" i="4" s="1"/>
  <c r="D59" i="4" s="1"/>
  <c r="D60" i="4" s="1"/>
  <c r="D61" i="4" s="1"/>
  <c r="D62" i="4" s="1"/>
  <c r="D63" i="4" s="1"/>
  <c r="D64" i="4" s="1"/>
  <c r="D65" i="4" s="1"/>
  <c r="D66" i="4" s="1"/>
  <c r="D67" i="4" s="1"/>
  <c r="F67" i="8"/>
  <c r="F66" i="8"/>
  <c r="C8" i="8"/>
  <c r="C21" i="8"/>
  <c r="C31" i="8"/>
  <c r="C41" i="8"/>
  <c r="F11" i="8"/>
  <c r="F14" i="8"/>
  <c r="F24" i="8"/>
  <c r="C18" i="8"/>
  <c r="C28" i="8"/>
  <c r="C38" i="8"/>
  <c r="G39" i="8" s="1"/>
  <c r="F65" i="8"/>
  <c r="F64" i="8" s="1"/>
  <c r="G15" i="8"/>
  <c r="G35" i="8"/>
  <c r="F9" i="8"/>
  <c r="G12" i="8"/>
  <c r="G42" i="8"/>
  <c r="F19" i="8"/>
  <c r="F29" i="8"/>
  <c r="C10" i="8"/>
  <c r="G11" i="8" s="1"/>
  <c r="C13" i="8"/>
  <c r="C23" i="8"/>
  <c r="C33" i="8"/>
  <c r="C43" i="8"/>
  <c r="G25" i="8"/>
  <c r="F22" i="8"/>
  <c r="F16" i="8"/>
  <c r="F26" i="8"/>
  <c r="C40" i="8"/>
  <c r="C47" i="8"/>
  <c r="C51" i="8"/>
  <c r="C55" i="8"/>
  <c r="C59" i="8"/>
  <c r="C63" i="8"/>
  <c r="F25" i="8"/>
  <c r="G28" i="7"/>
  <c r="G38" i="7"/>
  <c r="F7" i="7"/>
  <c r="E7" i="7"/>
  <c r="G41" i="7"/>
  <c r="G8" i="7"/>
  <c r="E8" i="7"/>
  <c r="F34" i="7"/>
  <c r="F8" i="7"/>
  <c r="F18" i="7"/>
  <c r="F28" i="7"/>
  <c r="F24" i="7"/>
  <c r="G44" i="7"/>
  <c r="G24" i="7"/>
  <c r="E9" i="7"/>
  <c r="E10" i="7" s="1"/>
  <c r="E11" i="7" s="1"/>
  <c r="E12" i="7" s="1"/>
  <c r="E13" i="7" s="1"/>
  <c r="E14" i="7" s="1"/>
  <c r="E15" i="7" s="1"/>
  <c r="E16" i="7" s="1"/>
  <c r="F9" i="7"/>
  <c r="F19" i="7"/>
  <c r="F29" i="7"/>
  <c r="G14" i="7"/>
  <c r="G15" i="7"/>
  <c r="F16" i="7"/>
  <c r="F26" i="7"/>
  <c r="F36" i="7"/>
  <c r="C40" i="7"/>
  <c r="C47" i="7"/>
  <c r="C51" i="7"/>
  <c r="C55" i="7"/>
  <c r="C59" i="7"/>
  <c r="C63" i="7"/>
  <c r="C67" i="7"/>
  <c r="F13" i="7"/>
  <c r="F23" i="7"/>
  <c r="F33" i="7"/>
  <c r="G35" i="7"/>
  <c r="C17" i="7"/>
  <c r="C27" i="7"/>
  <c r="C37" i="7"/>
  <c r="G36" i="6"/>
  <c r="G13" i="6"/>
  <c r="G26" i="6"/>
  <c r="G40" i="6"/>
  <c r="C54" i="6"/>
  <c r="G10" i="6"/>
  <c r="C19" i="6"/>
  <c r="C55" i="6"/>
  <c r="C67" i="6"/>
  <c r="G23" i="6"/>
  <c r="C20" i="6"/>
  <c r="G20" i="6" s="1"/>
  <c r="C32" i="6"/>
  <c r="G33" i="6" s="1"/>
  <c r="C45" i="6"/>
  <c r="D9" i="6"/>
  <c r="D10" i="6" s="1"/>
  <c r="D11" i="6" s="1"/>
  <c r="D12" i="6" s="1"/>
  <c r="D13" i="6" s="1"/>
  <c r="D14" i="6" s="1"/>
  <c r="D15" i="6" s="1"/>
  <c r="D16" i="6" s="1"/>
  <c r="D17" i="6" s="1"/>
  <c r="D18" i="6" s="1"/>
  <c r="D19" i="6" s="1"/>
  <c r="D20" i="6" s="1"/>
  <c r="D21" i="6" s="1"/>
  <c r="D22" i="6" s="1"/>
  <c r="D23" i="6" s="1"/>
  <c r="D24" i="6" s="1"/>
  <c r="D25" i="6" s="1"/>
  <c r="D26" i="6" s="1"/>
  <c r="D27" i="6" s="1"/>
  <c r="D28" i="6" s="1"/>
  <c r="D29" i="6" s="1"/>
  <c r="D30" i="6" s="1"/>
  <c r="D31" i="6" s="1"/>
  <c r="D32" i="6" s="1"/>
  <c r="D33" i="6" s="1"/>
  <c r="D34" i="6" s="1"/>
  <c r="D35" i="6" s="1"/>
  <c r="D36" i="6" s="1"/>
  <c r="D37" i="6" s="1"/>
  <c r="D38" i="6" s="1"/>
  <c r="D39" i="6" s="1"/>
  <c r="D40" i="6" s="1"/>
  <c r="D41" i="6" s="1"/>
  <c r="D42" i="6" s="1"/>
  <c r="D43" i="6" s="1"/>
  <c r="D44" i="6" s="1"/>
  <c r="D45" i="6" s="1"/>
  <c r="D46" i="6" s="1"/>
  <c r="D47" i="6" s="1"/>
  <c r="D48" i="6" s="1"/>
  <c r="D49" i="6" s="1"/>
  <c r="D50" i="6" s="1"/>
  <c r="D51" i="6" s="1"/>
  <c r="D52" i="6" s="1"/>
  <c r="D53" i="6" s="1"/>
  <c r="D54" i="6" s="1"/>
  <c r="D55" i="6" s="1"/>
  <c r="D56" i="6" s="1"/>
  <c r="D57" i="6" s="1"/>
  <c r="D58" i="6" s="1"/>
  <c r="D59" i="6" s="1"/>
  <c r="D60" i="6" s="1"/>
  <c r="D61" i="6" s="1"/>
  <c r="D62" i="6" s="1"/>
  <c r="D63" i="6" s="1"/>
  <c r="D64" i="6" s="1"/>
  <c r="D65" i="6" s="1"/>
  <c r="D66" i="6" s="1"/>
  <c r="D67" i="6" s="1"/>
  <c r="C45" i="5"/>
  <c r="C61" i="5"/>
  <c r="G16" i="5"/>
  <c r="C22" i="5"/>
  <c r="C53" i="5"/>
  <c r="C35" i="5"/>
  <c r="C9" i="5"/>
  <c r="D10" i="5"/>
  <c r="D11" i="5" s="1"/>
  <c r="D12" i="5" s="1"/>
  <c r="D13" i="5" s="1"/>
  <c r="D14" i="5" s="1"/>
  <c r="D15" i="5" s="1"/>
  <c r="D16" i="5" s="1"/>
  <c r="D17" i="5" s="1"/>
  <c r="D18" i="5" s="1"/>
  <c r="D19" i="5" s="1"/>
  <c r="D20" i="5" s="1"/>
  <c r="D21" i="5" s="1"/>
  <c r="D22" i="5" s="1"/>
  <c r="D23" i="5" s="1"/>
  <c r="D24" i="5" s="1"/>
  <c r="D25" i="5" s="1"/>
  <c r="D26" i="5" s="1"/>
  <c r="D27" i="5" s="1"/>
  <c r="D28" i="5" s="1"/>
  <c r="D29" i="5" s="1"/>
  <c r="D30" i="5" s="1"/>
  <c r="D31" i="5" s="1"/>
  <c r="D32" i="5" s="1"/>
  <c r="D33" i="5" s="1"/>
  <c r="D34" i="5" s="1"/>
  <c r="D35" i="5" s="1"/>
  <c r="D36" i="5" s="1"/>
  <c r="D37" i="5" s="1"/>
  <c r="D38" i="5" s="1"/>
  <c r="D39" i="5" s="1"/>
  <c r="D40" i="5" s="1"/>
  <c r="D41" i="5" s="1"/>
  <c r="D42" i="5" s="1"/>
  <c r="D43" i="5" s="1"/>
  <c r="D44" i="5" s="1"/>
  <c r="D45" i="5" s="1"/>
  <c r="D46" i="5" s="1"/>
  <c r="D47" i="5" s="1"/>
  <c r="D48" i="5" s="1"/>
  <c r="D49" i="5" s="1"/>
  <c r="D50" i="5" s="1"/>
  <c r="D51" i="5" s="1"/>
  <c r="D52" i="5" s="1"/>
  <c r="D53" i="5" s="1"/>
  <c r="D54" i="5" s="1"/>
  <c r="D55" i="5" s="1"/>
  <c r="D56" i="5" s="1"/>
  <c r="D57" i="5" s="1"/>
  <c r="D58" i="5" s="1"/>
  <c r="D59" i="5" s="1"/>
  <c r="D60" i="5" s="1"/>
  <c r="D61" i="5" s="1"/>
  <c r="D62" i="5" s="1"/>
  <c r="D63" i="5" s="1"/>
  <c r="D64" i="5" s="1"/>
  <c r="D65" i="5" s="1"/>
  <c r="D66" i="5" s="1"/>
  <c r="D67" i="5" s="1"/>
  <c r="E7" i="2"/>
  <c r="C45" i="3"/>
  <c r="C15" i="3"/>
  <c r="C32" i="3"/>
  <c r="C19" i="3"/>
  <c r="C35" i="3"/>
  <c r="C22" i="3"/>
  <c r="G22" i="3" s="1"/>
  <c r="D9" i="3"/>
  <c r="D10" i="3" s="1"/>
  <c r="D11" i="3" s="1"/>
  <c r="D12" i="3" s="1"/>
  <c r="D13" i="3" s="1"/>
  <c r="D14" i="3" s="1"/>
  <c r="D15" i="3" s="1"/>
  <c r="D16" i="3" s="1"/>
  <c r="D17" i="3" s="1"/>
  <c r="D18" i="3" s="1"/>
  <c r="D19" i="3" s="1"/>
  <c r="D20" i="3" s="1"/>
  <c r="D21" i="3" s="1"/>
  <c r="D22" i="3" s="1"/>
  <c r="D23" i="3" s="1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C62" i="4"/>
  <c r="C35" i="4"/>
  <c r="C22" i="4"/>
  <c r="C36" i="4"/>
  <c r="C50" i="4"/>
  <c r="C12" i="4"/>
  <c r="C26" i="4"/>
  <c r="C42" i="4"/>
  <c r="C15" i="4"/>
  <c r="C29" i="4"/>
  <c r="C57" i="4"/>
  <c r="C43" i="6"/>
  <c r="C17" i="6"/>
  <c r="C27" i="6"/>
  <c r="C37" i="6"/>
  <c r="C7" i="6"/>
  <c r="E7" i="6" s="1"/>
  <c r="C14" i="6"/>
  <c r="C24" i="6"/>
  <c r="C34" i="6"/>
  <c r="C44" i="6"/>
  <c r="C48" i="6"/>
  <c r="C52" i="6"/>
  <c r="C56" i="6"/>
  <c r="C60" i="6"/>
  <c r="C64" i="6"/>
  <c r="C11" i="6"/>
  <c r="G12" i="6" s="1"/>
  <c r="C21" i="6"/>
  <c r="C31" i="6"/>
  <c r="G32" i="6" s="1"/>
  <c r="C41" i="6"/>
  <c r="G42" i="6" s="1"/>
  <c r="C8" i="6"/>
  <c r="C18" i="6"/>
  <c r="C28" i="6"/>
  <c r="C46" i="5"/>
  <c r="C50" i="5"/>
  <c r="C54" i="5"/>
  <c r="C58" i="5"/>
  <c r="C62" i="5"/>
  <c r="C66" i="5"/>
  <c r="G22" i="5"/>
  <c r="C26" i="5"/>
  <c r="C36" i="5"/>
  <c r="G12" i="5"/>
  <c r="C13" i="5"/>
  <c r="C23" i="5"/>
  <c r="C33" i="5"/>
  <c r="C43" i="5"/>
  <c r="C10" i="5"/>
  <c r="C20" i="5"/>
  <c r="C30" i="5"/>
  <c r="C40" i="5"/>
  <c r="C47" i="5"/>
  <c r="C51" i="5"/>
  <c r="C55" i="5"/>
  <c r="C59" i="5"/>
  <c r="C63" i="5"/>
  <c r="C67" i="5"/>
  <c r="C7" i="5"/>
  <c r="E7" i="5" s="1"/>
  <c r="C14" i="5"/>
  <c r="C24" i="5"/>
  <c r="C34" i="5"/>
  <c r="C44" i="5"/>
  <c r="C27" i="5"/>
  <c r="C48" i="5"/>
  <c r="C52" i="5"/>
  <c r="C56" i="5"/>
  <c r="C60" i="5"/>
  <c r="C64" i="5"/>
  <c r="C11" i="5"/>
  <c r="C21" i="5"/>
  <c r="C31" i="5"/>
  <c r="C41" i="5"/>
  <c r="G42" i="5" s="1"/>
  <c r="C17" i="5"/>
  <c r="C37" i="5"/>
  <c r="G38" i="5" s="1"/>
  <c r="C8" i="5"/>
  <c r="C18" i="5"/>
  <c r="G19" i="5" s="1"/>
  <c r="C28" i="5"/>
  <c r="G29" i="5" s="1"/>
  <c r="G39" i="4"/>
  <c r="C13" i="4"/>
  <c r="C23" i="4"/>
  <c r="C33" i="4"/>
  <c r="C43" i="4"/>
  <c r="C10" i="4"/>
  <c r="G16" i="4"/>
  <c r="C20" i="4"/>
  <c r="G26" i="4"/>
  <c r="C30" i="4"/>
  <c r="G36" i="4"/>
  <c r="C40" i="4"/>
  <c r="C47" i="4"/>
  <c r="C51" i="4"/>
  <c r="C55" i="4"/>
  <c r="C59" i="4"/>
  <c r="C63" i="4"/>
  <c r="C67" i="4"/>
  <c r="C17" i="4"/>
  <c r="C27" i="4"/>
  <c r="C37" i="4"/>
  <c r="G38" i="4" s="1"/>
  <c r="C7" i="4"/>
  <c r="E7" i="4" s="1"/>
  <c r="C14" i="4"/>
  <c r="C24" i="4"/>
  <c r="C34" i="4"/>
  <c r="G35" i="4" s="1"/>
  <c r="C44" i="4"/>
  <c r="C48" i="4"/>
  <c r="C52" i="4"/>
  <c r="C56" i="4"/>
  <c r="C60" i="4"/>
  <c r="C64" i="4"/>
  <c r="C11" i="4"/>
  <c r="C21" i="4"/>
  <c r="C31" i="4"/>
  <c r="G32" i="4" s="1"/>
  <c r="C41" i="4"/>
  <c r="C8" i="4"/>
  <c r="C18" i="4"/>
  <c r="C28" i="4"/>
  <c r="G38" i="3"/>
  <c r="C46" i="3"/>
  <c r="C50" i="3"/>
  <c r="C16" i="3"/>
  <c r="C26" i="3"/>
  <c r="C36" i="3"/>
  <c r="G9" i="3"/>
  <c r="C13" i="3"/>
  <c r="G19" i="3"/>
  <c r="C23" i="3"/>
  <c r="G29" i="3"/>
  <c r="C33" i="3"/>
  <c r="G39" i="3"/>
  <c r="C43" i="3"/>
  <c r="C10" i="3"/>
  <c r="C20" i="3"/>
  <c r="C30" i="3"/>
  <c r="C40" i="3"/>
  <c r="C47" i="3"/>
  <c r="C17" i="3"/>
  <c r="C27" i="3"/>
  <c r="C37" i="3"/>
  <c r="C7" i="3"/>
  <c r="E7" i="3" s="1"/>
  <c r="C14" i="3"/>
  <c r="C24" i="3"/>
  <c r="C34" i="3"/>
  <c r="C44" i="3"/>
  <c r="C48" i="3"/>
  <c r="C21" i="3"/>
  <c r="C11" i="3"/>
  <c r="G12" i="3" s="1"/>
  <c r="C31" i="3"/>
  <c r="C41" i="3"/>
  <c r="G42" i="3" s="1"/>
  <c r="C8" i="3"/>
  <c r="C18" i="3"/>
  <c r="C28" i="3"/>
  <c r="C15" i="2"/>
  <c r="C25" i="2"/>
  <c r="C35" i="2"/>
  <c r="C45" i="2"/>
  <c r="C49" i="2"/>
  <c r="C53" i="2"/>
  <c r="C57" i="2"/>
  <c r="C61" i="2"/>
  <c r="C65" i="2"/>
  <c r="C12" i="2"/>
  <c r="C22" i="2"/>
  <c r="C32" i="2"/>
  <c r="C42" i="2"/>
  <c r="C9" i="2"/>
  <c r="C19" i="2"/>
  <c r="C29" i="2"/>
  <c r="C39" i="2"/>
  <c r="C46" i="2"/>
  <c r="C50" i="2"/>
  <c r="C54" i="2"/>
  <c r="C58" i="2"/>
  <c r="C62" i="2"/>
  <c r="C66" i="2"/>
  <c r="C16" i="2"/>
  <c r="C26" i="2"/>
  <c r="C36" i="2"/>
  <c r="C13" i="2"/>
  <c r="C23" i="2"/>
  <c r="C33" i="2"/>
  <c r="C43" i="2"/>
  <c r="C10" i="2"/>
  <c r="C20" i="2"/>
  <c r="C30" i="2"/>
  <c r="C40" i="2"/>
  <c r="C47" i="2"/>
  <c r="C51" i="2"/>
  <c r="C55" i="2"/>
  <c r="C59" i="2"/>
  <c r="C63" i="2"/>
  <c r="C67" i="2"/>
  <c r="C17" i="2"/>
  <c r="C27" i="2"/>
  <c r="C37" i="2"/>
  <c r="C48" i="2"/>
  <c r="C52" i="2"/>
  <c r="C56" i="2"/>
  <c r="C60" i="2"/>
  <c r="C64" i="2"/>
  <c r="C11" i="2"/>
  <c r="C21" i="2"/>
  <c r="C31" i="2"/>
  <c r="C41" i="2"/>
  <c r="C14" i="2"/>
  <c r="C24" i="2"/>
  <c r="C34" i="2"/>
  <c r="C44" i="2"/>
  <c r="C8" i="2"/>
  <c r="C18" i="2"/>
  <c r="C28" i="2"/>
  <c r="G10" i="1"/>
  <c r="G32" i="1"/>
  <c r="G31" i="1"/>
  <c r="G30" i="1"/>
  <c r="G29" i="1"/>
  <c r="G27" i="1"/>
  <c r="G26" i="1"/>
  <c r="G25" i="1"/>
  <c r="C60" i="1"/>
  <c r="C36" i="1"/>
  <c r="C12" i="1"/>
  <c r="G8" i="1"/>
  <c r="C59" i="1"/>
  <c r="C35" i="1"/>
  <c r="C11" i="1"/>
  <c r="C58" i="1"/>
  <c r="C34" i="1"/>
  <c r="G43" i="1"/>
  <c r="G19" i="1"/>
  <c r="E7" i="1"/>
  <c r="E8" i="1" s="1"/>
  <c r="E9" i="1" s="1"/>
  <c r="E10" i="1" s="1"/>
  <c r="D7" i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F7" i="13" l="1"/>
  <c r="E7" i="13"/>
  <c r="G25" i="13"/>
  <c r="F25" i="13"/>
  <c r="G12" i="13"/>
  <c r="F12" i="13"/>
  <c r="G33" i="13"/>
  <c r="F33" i="13"/>
  <c r="G15" i="13"/>
  <c r="F15" i="13"/>
  <c r="G23" i="13"/>
  <c r="F23" i="13"/>
  <c r="G38" i="13"/>
  <c r="F38" i="13"/>
  <c r="G37" i="13"/>
  <c r="F37" i="13"/>
  <c r="G28" i="13"/>
  <c r="F28" i="13"/>
  <c r="G27" i="13"/>
  <c r="F27" i="13"/>
  <c r="G35" i="13"/>
  <c r="F35" i="13"/>
  <c r="G13" i="13"/>
  <c r="F13" i="13"/>
  <c r="F26" i="13"/>
  <c r="G26" i="13"/>
  <c r="G31" i="13"/>
  <c r="F31" i="13"/>
  <c r="F16" i="13"/>
  <c r="G16" i="13"/>
  <c r="G21" i="13"/>
  <c r="F21" i="13"/>
  <c r="G11" i="13"/>
  <c r="F11" i="13"/>
  <c r="F36" i="13"/>
  <c r="G36" i="13"/>
  <c r="G17" i="13"/>
  <c r="F17" i="13"/>
  <c r="G29" i="13"/>
  <c r="F29" i="13"/>
  <c r="G18" i="13"/>
  <c r="F18" i="13"/>
  <c r="G19" i="13"/>
  <c r="F19" i="13"/>
  <c r="G9" i="13"/>
  <c r="F9" i="13"/>
  <c r="E9" i="13"/>
  <c r="E10" i="13" s="1"/>
  <c r="E11" i="13" s="1"/>
  <c r="E12" i="13" s="1"/>
  <c r="E13" i="13" s="1"/>
  <c r="E14" i="13" s="1"/>
  <c r="E15" i="13" s="1"/>
  <c r="E16" i="13" s="1"/>
  <c r="E17" i="13" s="1"/>
  <c r="E18" i="13" s="1"/>
  <c r="E19" i="13" s="1"/>
  <c r="E20" i="13" s="1"/>
  <c r="E21" i="13" s="1"/>
  <c r="E22" i="13" s="1"/>
  <c r="E23" i="13" s="1"/>
  <c r="E24" i="13" s="1"/>
  <c r="E25" i="13" s="1"/>
  <c r="E26" i="13" s="1"/>
  <c r="E27" i="13" s="1"/>
  <c r="E28" i="13" s="1"/>
  <c r="E29" i="13" s="1"/>
  <c r="E30" i="13" s="1"/>
  <c r="E31" i="13" s="1"/>
  <c r="E32" i="13" s="1"/>
  <c r="E33" i="13" s="1"/>
  <c r="E34" i="13" s="1"/>
  <c r="E35" i="13" s="1"/>
  <c r="E36" i="13" s="1"/>
  <c r="E37" i="13" s="1"/>
  <c r="E38" i="13" s="1"/>
  <c r="G24" i="13"/>
  <c r="F24" i="13"/>
  <c r="G34" i="13"/>
  <c r="F34" i="13"/>
  <c r="G32" i="13"/>
  <c r="F32" i="13"/>
  <c r="G14" i="13"/>
  <c r="F14" i="13"/>
  <c r="G8" i="13"/>
  <c r="F8" i="13"/>
  <c r="E8" i="13"/>
  <c r="G22" i="13"/>
  <c r="F22" i="13"/>
  <c r="G20" i="13"/>
  <c r="F20" i="12"/>
  <c r="G20" i="12"/>
  <c r="G23" i="12"/>
  <c r="F23" i="12"/>
  <c r="G36" i="12"/>
  <c r="F36" i="12"/>
  <c r="G27" i="12"/>
  <c r="F27" i="12"/>
  <c r="G33" i="12"/>
  <c r="F33" i="12"/>
  <c r="G17" i="12"/>
  <c r="F17" i="12"/>
  <c r="G10" i="12"/>
  <c r="F10" i="12"/>
  <c r="F38" i="12"/>
  <c r="F37" i="12" s="1"/>
  <c r="G21" i="12"/>
  <c r="G18" i="12"/>
  <c r="E7" i="12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E36" i="12" s="1"/>
  <c r="E37" i="12" s="1"/>
  <c r="E38" i="12" s="1"/>
  <c r="F7" i="12"/>
  <c r="G34" i="12"/>
  <c r="G37" i="12"/>
  <c r="F30" i="12"/>
  <c r="G30" i="12"/>
  <c r="G38" i="11"/>
  <c r="F38" i="11"/>
  <c r="F40" i="11"/>
  <c r="G40" i="11"/>
  <c r="F20" i="11"/>
  <c r="G20" i="11"/>
  <c r="G29" i="11"/>
  <c r="F29" i="11"/>
  <c r="G8" i="11"/>
  <c r="F8" i="11"/>
  <c r="E8" i="11"/>
  <c r="G28" i="11"/>
  <c r="F28" i="11"/>
  <c r="G9" i="11"/>
  <c r="F9" i="11"/>
  <c r="E9" i="11"/>
  <c r="G19" i="11"/>
  <c r="F19" i="11"/>
  <c r="F10" i="11"/>
  <c r="E10" i="11"/>
  <c r="E11" i="11" s="1"/>
  <c r="E12" i="11" s="1"/>
  <c r="E13" i="11" s="1"/>
  <c r="E14" i="11" s="1"/>
  <c r="E15" i="11" s="1"/>
  <c r="E16" i="11" s="1"/>
  <c r="E17" i="11" s="1"/>
  <c r="E18" i="11" s="1"/>
  <c r="E19" i="11" s="1"/>
  <c r="E20" i="11" s="1"/>
  <c r="E21" i="11" s="1"/>
  <c r="E22" i="11" s="1"/>
  <c r="E23" i="11" s="1"/>
  <c r="E24" i="11" s="1"/>
  <c r="E25" i="11" s="1"/>
  <c r="E26" i="11" s="1"/>
  <c r="E27" i="11" s="1"/>
  <c r="E28" i="11" s="1"/>
  <c r="E29" i="11" s="1"/>
  <c r="E30" i="11" s="1"/>
  <c r="E31" i="11" s="1"/>
  <c r="E32" i="11" s="1"/>
  <c r="E33" i="11" s="1"/>
  <c r="E34" i="11" s="1"/>
  <c r="E35" i="11" s="1"/>
  <c r="E36" i="11" s="1"/>
  <c r="E37" i="11" s="1"/>
  <c r="E38" i="11" s="1"/>
  <c r="E39" i="11" s="1"/>
  <c r="E40" i="11" s="1"/>
  <c r="E41" i="11" s="1"/>
  <c r="E42" i="11" s="1"/>
  <c r="E43" i="11" s="1"/>
  <c r="E44" i="11" s="1"/>
  <c r="E45" i="11" s="1"/>
  <c r="E46" i="11" s="1"/>
  <c r="E47" i="11" s="1"/>
  <c r="E48" i="11" s="1"/>
  <c r="E49" i="11" s="1"/>
  <c r="E50" i="11" s="1"/>
  <c r="E51" i="11" s="1"/>
  <c r="E52" i="11" s="1"/>
  <c r="E53" i="11" s="1"/>
  <c r="E54" i="11" s="1"/>
  <c r="E55" i="11" s="1"/>
  <c r="E56" i="11" s="1"/>
  <c r="E57" i="11" s="1"/>
  <c r="E58" i="11" s="1"/>
  <c r="E59" i="11" s="1"/>
  <c r="E60" i="11" s="1"/>
  <c r="E61" i="11" s="1"/>
  <c r="E62" i="11" s="1"/>
  <c r="E63" i="11" s="1"/>
  <c r="E64" i="11" s="1"/>
  <c r="E65" i="11" s="1"/>
  <c r="E66" i="11" s="1"/>
  <c r="E67" i="11" s="1"/>
  <c r="G10" i="11"/>
  <c r="G35" i="11"/>
  <c r="F35" i="11"/>
  <c r="F17" i="11"/>
  <c r="G17" i="11"/>
  <c r="F25" i="11"/>
  <c r="G25" i="11"/>
  <c r="G18" i="11"/>
  <c r="F18" i="11"/>
  <c r="G15" i="11"/>
  <c r="F15" i="11"/>
  <c r="G21" i="11"/>
  <c r="F30" i="11"/>
  <c r="G30" i="11"/>
  <c r="F37" i="11"/>
  <c r="G37" i="11"/>
  <c r="F67" i="11"/>
  <c r="F66" i="11" s="1"/>
  <c r="F65" i="11"/>
  <c r="F64" i="11" s="1"/>
  <c r="F27" i="11"/>
  <c r="G27" i="11"/>
  <c r="F63" i="11"/>
  <c r="F62" i="11" s="1"/>
  <c r="F61" i="11" s="1"/>
  <c r="F60" i="11" s="1"/>
  <c r="F59" i="11" s="1"/>
  <c r="F58" i="11" s="1"/>
  <c r="F57" i="11" s="1"/>
  <c r="F56" i="11" s="1"/>
  <c r="F55" i="11" s="1"/>
  <c r="F54" i="11" s="1"/>
  <c r="F53" i="11" s="1"/>
  <c r="F52" i="11" s="1"/>
  <c r="F51" i="11" s="1"/>
  <c r="F50" i="11" s="1"/>
  <c r="F49" i="11" s="1"/>
  <c r="F48" i="11" s="1"/>
  <c r="F47" i="11" s="1"/>
  <c r="F46" i="11" s="1"/>
  <c r="F45" i="11" s="1"/>
  <c r="G39" i="11"/>
  <c r="F39" i="11"/>
  <c r="F9" i="9"/>
  <c r="G15" i="9"/>
  <c r="G21" i="9"/>
  <c r="F15" i="9"/>
  <c r="G44" i="9"/>
  <c r="G19" i="9"/>
  <c r="G25" i="9"/>
  <c r="F19" i="9"/>
  <c r="G12" i="9"/>
  <c r="G16" i="9"/>
  <c r="F16" i="9"/>
  <c r="G30" i="9"/>
  <c r="G23" i="9"/>
  <c r="F23" i="9"/>
  <c r="G31" i="9"/>
  <c r="G13" i="9"/>
  <c r="F13" i="9"/>
  <c r="G27" i="9"/>
  <c r="G36" i="9"/>
  <c r="G33" i="9"/>
  <c r="G17" i="9"/>
  <c r="F17" i="9"/>
  <c r="G37" i="9"/>
  <c r="G40" i="9"/>
  <c r="G43" i="9"/>
  <c r="E7" i="9"/>
  <c r="E8" i="9" s="1"/>
  <c r="E9" i="9" s="1"/>
  <c r="E10" i="9" s="1"/>
  <c r="E11" i="9" s="1"/>
  <c r="E12" i="9" s="1"/>
  <c r="E13" i="9" s="1"/>
  <c r="E14" i="9" s="1"/>
  <c r="E15" i="9" s="1"/>
  <c r="E16" i="9" s="1"/>
  <c r="E17" i="9" s="1"/>
  <c r="E18" i="9" s="1"/>
  <c r="E19" i="9" s="1"/>
  <c r="E20" i="9" s="1"/>
  <c r="E21" i="9" s="1"/>
  <c r="E22" i="9" s="1"/>
  <c r="E23" i="9" s="1"/>
  <c r="E24" i="9" s="1"/>
  <c r="E25" i="9" s="1"/>
  <c r="E26" i="9" s="1"/>
  <c r="E27" i="9" s="1"/>
  <c r="E28" i="9" s="1"/>
  <c r="E29" i="9" s="1"/>
  <c r="E30" i="9" s="1"/>
  <c r="E31" i="9" s="1"/>
  <c r="E32" i="9" s="1"/>
  <c r="E33" i="9" s="1"/>
  <c r="E34" i="9" s="1"/>
  <c r="E35" i="9" s="1"/>
  <c r="E36" i="9" s="1"/>
  <c r="E37" i="9" s="1"/>
  <c r="E38" i="9" s="1"/>
  <c r="E39" i="9" s="1"/>
  <c r="E40" i="9" s="1"/>
  <c r="E41" i="9" s="1"/>
  <c r="E42" i="9" s="1"/>
  <c r="E43" i="9" s="1"/>
  <c r="E44" i="9" s="1"/>
  <c r="E45" i="9" s="1"/>
  <c r="E46" i="9" s="1"/>
  <c r="E47" i="9" s="1"/>
  <c r="E48" i="9" s="1"/>
  <c r="E49" i="9" s="1"/>
  <c r="E50" i="9" s="1"/>
  <c r="E51" i="9" s="1"/>
  <c r="E52" i="9" s="1"/>
  <c r="E53" i="9" s="1"/>
  <c r="E54" i="9" s="1"/>
  <c r="E55" i="9" s="1"/>
  <c r="E56" i="9" s="1"/>
  <c r="E57" i="9" s="1"/>
  <c r="E58" i="9" s="1"/>
  <c r="E59" i="9" s="1"/>
  <c r="E60" i="9" s="1"/>
  <c r="E61" i="9" s="1"/>
  <c r="E62" i="9" s="1"/>
  <c r="E63" i="9" s="1"/>
  <c r="E64" i="9" s="1"/>
  <c r="E65" i="9" s="1"/>
  <c r="E66" i="9" s="1"/>
  <c r="E67" i="9" s="1"/>
  <c r="F7" i="9"/>
  <c r="G26" i="9"/>
  <c r="F20" i="9"/>
  <c r="G20" i="9"/>
  <c r="G10" i="9"/>
  <c r="F10" i="9"/>
  <c r="F67" i="9"/>
  <c r="F66" i="9" s="1"/>
  <c r="F65" i="9" s="1"/>
  <c r="F64" i="9" s="1"/>
  <c r="F63" i="9" s="1"/>
  <c r="F62" i="9" s="1"/>
  <c r="F61" i="9" s="1"/>
  <c r="F60" i="9" s="1"/>
  <c r="F59" i="9" s="1"/>
  <c r="F58" i="9" s="1"/>
  <c r="F57" i="9" s="1"/>
  <c r="F56" i="9" s="1"/>
  <c r="F55" i="9" s="1"/>
  <c r="F54" i="9" s="1"/>
  <c r="F53" i="9" s="1"/>
  <c r="F52" i="9" s="1"/>
  <c r="F51" i="9" s="1"/>
  <c r="F50" i="9" s="1"/>
  <c r="F49" i="9" s="1"/>
  <c r="F48" i="9" s="1"/>
  <c r="F47" i="9" s="1"/>
  <c r="F46" i="9" s="1"/>
  <c r="F45" i="9" s="1"/>
  <c r="F44" i="9" s="1"/>
  <c r="F43" i="9" s="1"/>
  <c r="F42" i="9" s="1"/>
  <c r="F41" i="9" s="1"/>
  <c r="F40" i="9" s="1"/>
  <c r="F39" i="9" s="1"/>
  <c r="F38" i="9" s="1"/>
  <c r="F37" i="9" s="1"/>
  <c r="F36" i="9" s="1"/>
  <c r="F35" i="9" s="1"/>
  <c r="F34" i="9" s="1"/>
  <c r="F33" i="9" s="1"/>
  <c r="F32" i="9" s="1"/>
  <c r="F31" i="9" s="1"/>
  <c r="F30" i="9" s="1"/>
  <c r="F29" i="9" s="1"/>
  <c r="F28" i="9" s="1"/>
  <c r="F27" i="9" s="1"/>
  <c r="F26" i="9" s="1"/>
  <c r="F25" i="9" s="1"/>
  <c r="G14" i="9"/>
  <c r="F31" i="8"/>
  <c r="G31" i="8"/>
  <c r="G21" i="8"/>
  <c r="F21" i="8"/>
  <c r="F8" i="8"/>
  <c r="E8" i="8"/>
  <c r="E9" i="8" s="1"/>
  <c r="G8" i="8"/>
  <c r="G43" i="8"/>
  <c r="G44" i="8"/>
  <c r="G40" i="8"/>
  <c r="G23" i="8"/>
  <c r="F23" i="8"/>
  <c r="G13" i="8"/>
  <c r="F13" i="8"/>
  <c r="F28" i="8"/>
  <c r="G28" i="8"/>
  <c r="G33" i="8"/>
  <c r="G10" i="8"/>
  <c r="F10" i="8"/>
  <c r="E10" i="8"/>
  <c r="E11" i="8" s="1"/>
  <c r="E12" i="8" s="1"/>
  <c r="E13" i="8" s="1"/>
  <c r="E14" i="8" s="1"/>
  <c r="E15" i="8" s="1"/>
  <c r="E16" i="8" s="1"/>
  <c r="E17" i="8" s="1"/>
  <c r="E18" i="8" s="1"/>
  <c r="E19" i="8" s="1"/>
  <c r="E20" i="8" s="1"/>
  <c r="E21" i="8" s="1"/>
  <c r="E22" i="8" s="1"/>
  <c r="E23" i="8" s="1"/>
  <c r="E24" i="8" s="1"/>
  <c r="E25" i="8" s="1"/>
  <c r="E26" i="8" s="1"/>
  <c r="E27" i="8" s="1"/>
  <c r="E28" i="8" s="1"/>
  <c r="E29" i="8" s="1"/>
  <c r="E30" i="8" s="1"/>
  <c r="E31" i="8" s="1"/>
  <c r="E32" i="8" s="1"/>
  <c r="E33" i="8" s="1"/>
  <c r="E34" i="8" s="1"/>
  <c r="E35" i="8" s="1"/>
  <c r="E36" i="8" s="1"/>
  <c r="E37" i="8" s="1"/>
  <c r="E38" i="8" s="1"/>
  <c r="E39" i="8" s="1"/>
  <c r="E40" i="8" s="1"/>
  <c r="E41" i="8" s="1"/>
  <c r="E42" i="8" s="1"/>
  <c r="E43" i="8" s="1"/>
  <c r="E44" i="8" s="1"/>
  <c r="E45" i="8" s="1"/>
  <c r="E46" i="8" s="1"/>
  <c r="E47" i="8" s="1"/>
  <c r="E48" i="8" s="1"/>
  <c r="E49" i="8" s="1"/>
  <c r="E50" i="8" s="1"/>
  <c r="E51" i="8" s="1"/>
  <c r="E52" i="8" s="1"/>
  <c r="E53" i="8" s="1"/>
  <c r="E54" i="8" s="1"/>
  <c r="E55" i="8" s="1"/>
  <c r="E56" i="8" s="1"/>
  <c r="E57" i="8" s="1"/>
  <c r="E58" i="8" s="1"/>
  <c r="E59" i="8" s="1"/>
  <c r="E60" i="8" s="1"/>
  <c r="E61" i="8" s="1"/>
  <c r="E62" i="8" s="1"/>
  <c r="E63" i="8" s="1"/>
  <c r="E64" i="8" s="1"/>
  <c r="E65" i="8" s="1"/>
  <c r="E66" i="8" s="1"/>
  <c r="E67" i="8" s="1"/>
  <c r="G22" i="8"/>
  <c r="G14" i="8"/>
  <c r="G32" i="8"/>
  <c r="F63" i="8"/>
  <c r="F62" i="8" s="1"/>
  <c r="F61" i="8" s="1"/>
  <c r="F60" i="8" s="1"/>
  <c r="F18" i="8"/>
  <c r="G18" i="8"/>
  <c r="F59" i="8"/>
  <c r="F58" i="8" s="1"/>
  <c r="F57" i="8" s="1"/>
  <c r="F56" i="8" s="1"/>
  <c r="F55" i="8" s="1"/>
  <c r="F54" i="8" s="1"/>
  <c r="F53" i="8" s="1"/>
  <c r="F52" i="8" s="1"/>
  <c r="F51" i="8" s="1"/>
  <c r="F50" i="8" s="1"/>
  <c r="F49" i="8" s="1"/>
  <c r="F48" i="8" s="1"/>
  <c r="F47" i="8" s="1"/>
  <c r="F46" i="8" s="1"/>
  <c r="F45" i="8" s="1"/>
  <c r="F44" i="8" s="1"/>
  <c r="F43" i="8" s="1"/>
  <c r="F42" i="8" s="1"/>
  <c r="F41" i="8" s="1"/>
  <c r="F40" i="8" s="1"/>
  <c r="F39" i="8" s="1"/>
  <c r="F38" i="8" s="1"/>
  <c r="F37" i="8" s="1"/>
  <c r="F36" i="8" s="1"/>
  <c r="F35" i="8" s="1"/>
  <c r="F34" i="8" s="1"/>
  <c r="F33" i="8" s="1"/>
  <c r="F32" i="8" s="1"/>
  <c r="G34" i="8"/>
  <c r="G9" i="8"/>
  <c r="G24" i="8"/>
  <c r="G38" i="8"/>
  <c r="G29" i="8"/>
  <c r="G41" i="8"/>
  <c r="G19" i="8"/>
  <c r="F67" i="7"/>
  <c r="F66" i="7" s="1"/>
  <c r="F65" i="7" s="1"/>
  <c r="F64" i="7" s="1"/>
  <c r="F63" i="7" s="1"/>
  <c r="F62" i="7" s="1"/>
  <c r="F61" i="7" s="1"/>
  <c r="F60" i="7" s="1"/>
  <c r="F59" i="7" s="1"/>
  <c r="F58" i="7" s="1"/>
  <c r="F57" i="7" s="1"/>
  <c r="F56" i="7" s="1"/>
  <c r="F55" i="7" s="1"/>
  <c r="F54" i="7" s="1"/>
  <c r="F53" i="7" s="1"/>
  <c r="F52" i="7" s="1"/>
  <c r="F51" i="7" s="1"/>
  <c r="F50" i="7" s="1"/>
  <c r="F49" i="7" s="1"/>
  <c r="F48" i="7" s="1"/>
  <c r="F47" i="7" s="1"/>
  <c r="F46" i="7" s="1"/>
  <c r="F45" i="7" s="1"/>
  <c r="F44" i="7" s="1"/>
  <c r="F43" i="7" s="1"/>
  <c r="F42" i="7" s="1"/>
  <c r="F41" i="7" s="1"/>
  <c r="F40" i="7" s="1"/>
  <c r="F39" i="7" s="1"/>
  <c r="F38" i="7" s="1"/>
  <c r="F37" i="7" s="1"/>
  <c r="G37" i="7"/>
  <c r="E17" i="7"/>
  <c r="E18" i="7" s="1"/>
  <c r="E19" i="7" s="1"/>
  <c r="E20" i="7" s="1"/>
  <c r="E21" i="7" s="1"/>
  <c r="E22" i="7" s="1"/>
  <c r="E23" i="7" s="1"/>
  <c r="E24" i="7" s="1"/>
  <c r="E25" i="7" s="1"/>
  <c r="E26" i="7" s="1"/>
  <c r="E27" i="7" s="1"/>
  <c r="E28" i="7" s="1"/>
  <c r="E29" i="7" s="1"/>
  <c r="E30" i="7" s="1"/>
  <c r="E31" i="7" s="1"/>
  <c r="E32" i="7" s="1"/>
  <c r="E33" i="7" s="1"/>
  <c r="E34" i="7" s="1"/>
  <c r="E35" i="7" s="1"/>
  <c r="E36" i="7" s="1"/>
  <c r="E37" i="7" s="1"/>
  <c r="E38" i="7" s="1"/>
  <c r="E39" i="7" s="1"/>
  <c r="E40" i="7" s="1"/>
  <c r="E41" i="7" s="1"/>
  <c r="E42" i="7" s="1"/>
  <c r="E43" i="7" s="1"/>
  <c r="E44" i="7" s="1"/>
  <c r="E45" i="7" s="1"/>
  <c r="E46" i="7" s="1"/>
  <c r="E47" i="7" s="1"/>
  <c r="E48" i="7" s="1"/>
  <c r="E49" i="7" s="1"/>
  <c r="E50" i="7" s="1"/>
  <c r="E51" i="7" s="1"/>
  <c r="E52" i="7" s="1"/>
  <c r="E53" i="7" s="1"/>
  <c r="E54" i="7" s="1"/>
  <c r="E55" i="7" s="1"/>
  <c r="E56" i="7" s="1"/>
  <c r="E57" i="7" s="1"/>
  <c r="E58" i="7" s="1"/>
  <c r="E59" i="7" s="1"/>
  <c r="E60" i="7" s="1"/>
  <c r="E61" i="7" s="1"/>
  <c r="E62" i="7" s="1"/>
  <c r="E63" i="7" s="1"/>
  <c r="E64" i="7" s="1"/>
  <c r="E65" i="7" s="1"/>
  <c r="E66" i="7" s="1"/>
  <c r="E67" i="7" s="1"/>
  <c r="E68" i="7" s="1"/>
  <c r="E69" i="7" s="1"/>
  <c r="E70" i="7" s="1"/>
  <c r="E71" i="7" s="1"/>
  <c r="E72" i="7" s="1"/>
  <c r="E73" i="7" s="1"/>
  <c r="E74" i="7" s="1"/>
  <c r="E75" i="7" s="1"/>
  <c r="E76" i="7" s="1"/>
  <c r="E77" i="7" s="1"/>
  <c r="E78" i="7" s="1"/>
  <c r="E79" i="7" s="1"/>
  <c r="G17" i="7"/>
  <c r="F17" i="7"/>
  <c r="G40" i="7"/>
  <c r="G27" i="7"/>
  <c r="F27" i="7"/>
  <c r="G18" i="7"/>
  <c r="G15" i="4"/>
  <c r="G29" i="4"/>
  <c r="G17" i="6"/>
  <c r="G28" i="6"/>
  <c r="G27" i="6"/>
  <c r="G34" i="6"/>
  <c r="G14" i="6"/>
  <c r="G18" i="6"/>
  <c r="G15" i="6"/>
  <c r="G21" i="6"/>
  <c r="G19" i="6"/>
  <c r="G37" i="6"/>
  <c r="G44" i="6"/>
  <c r="G24" i="6"/>
  <c r="G35" i="6"/>
  <c r="G41" i="6"/>
  <c r="G11" i="6"/>
  <c r="G22" i="6"/>
  <c r="E8" i="6"/>
  <c r="E9" i="6" s="1"/>
  <c r="E10" i="6" s="1"/>
  <c r="E11" i="6" s="1"/>
  <c r="E12" i="6" s="1"/>
  <c r="E13" i="6" s="1"/>
  <c r="E14" i="6" s="1"/>
  <c r="E15" i="6" s="1"/>
  <c r="E16" i="6" s="1"/>
  <c r="E17" i="6" s="1"/>
  <c r="E18" i="6" s="1"/>
  <c r="E19" i="6" s="1"/>
  <c r="E20" i="6" s="1"/>
  <c r="E21" i="6" s="1"/>
  <c r="E22" i="6" s="1"/>
  <c r="E23" i="6" s="1"/>
  <c r="E24" i="6" s="1"/>
  <c r="E25" i="6" s="1"/>
  <c r="E26" i="6" s="1"/>
  <c r="E27" i="6" s="1"/>
  <c r="E28" i="6" s="1"/>
  <c r="E29" i="6" s="1"/>
  <c r="E30" i="6" s="1"/>
  <c r="E31" i="6" s="1"/>
  <c r="E32" i="6" s="1"/>
  <c r="E33" i="6" s="1"/>
  <c r="E34" i="6" s="1"/>
  <c r="E35" i="6" s="1"/>
  <c r="E36" i="6" s="1"/>
  <c r="E37" i="6" s="1"/>
  <c r="E38" i="6" s="1"/>
  <c r="E39" i="6" s="1"/>
  <c r="E40" i="6" s="1"/>
  <c r="E41" i="6" s="1"/>
  <c r="E42" i="6" s="1"/>
  <c r="E43" i="6" s="1"/>
  <c r="E44" i="6" s="1"/>
  <c r="E45" i="6" s="1"/>
  <c r="E46" i="6" s="1"/>
  <c r="E47" i="6" s="1"/>
  <c r="E48" i="6" s="1"/>
  <c r="E49" i="6" s="1"/>
  <c r="E50" i="6" s="1"/>
  <c r="E51" i="6" s="1"/>
  <c r="E52" i="6" s="1"/>
  <c r="E53" i="6" s="1"/>
  <c r="E54" i="6" s="1"/>
  <c r="E55" i="6" s="1"/>
  <c r="E56" i="6" s="1"/>
  <c r="E57" i="6" s="1"/>
  <c r="E58" i="6" s="1"/>
  <c r="E59" i="6" s="1"/>
  <c r="E60" i="6" s="1"/>
  <c r="E61" i="6" s="1"/>
  <c r="E62" i="6" s="1"/>
  <c r="E63" i="6" s="1"/>
  <c r="E64" i="6" s="1"/>
  <c r="E65" i="6" s="1"/>
  <c r="E66" i="6" s="1"/>
  <c r="E67" i="6" s="1"/>
  <c r="G8" i="6"/>
  <c r="G38" i="6"/>
  <c r="G9" i="6"/>
  <c r="G25" i="6"/>
  <c r="G31" i="6"/>
  <c r="G43" i="6"/>
  <c r="G29" i="6"/>
  <c r="G34" i="5"/>
  <c r="G13" i="5"/>
  <c r="G33" i="5"/>
  <c r="G27" i="5"/>
  <c r="G43" i="5"/>
  <c r="G24" i="5"/>
  <c r="G35" i="5"/>
  <c r="G14" i="5"/>
  <c r="G18" i="5"/>
  <c r="G23" i="5"/>
  <c r="G44" i="5"/>
  <c r="E8" i="5"/>
  <c r="E9" i="5" s="1"/>
  <c r="E10" i="5" s="1"/>
  <c r="E11" i="5" s="1"/>
  <c r="E12" i="5" s="1"/>
  <c r="E13" i="5" s="1"/>
  <c r="E14" i="5" s="1"/>
  <c r="E15" i="5" s="1"/>
  <c r="E16" i="5" s="1"/>
  <c r="E17" i="5" s="1"/>
  <c r="E18" i="5" s="1"/>
  <c r="E19" i="5" s="1"/>
  <c r="E20" i="5" s="1"/>
  <c r="E21" i="5" s="1"/>
  <c r="E22" i="5" s="1"/>
  <c r="E23" i="5" s="1"/>
  <c r="E24" i="5" s="1"/>
  <c r="E25" i="5" s="1"/>
  <c r="E26" i="5" s="1"/>
  <c r="E27" i="5" s="1"/>
  <c r="E28" i="5" s="1"/>
  <c r="E29" i="5" s="1"/>
  <c r="E30" i="5" s="1"/>
  <c r="E31" i="5" s="1"/>
  <c r="E32" i="5" s="1"/>
  <c r="E33" i="5" s="1"/>
  <c r="E34" i="5" s="1"/>
  <c r="E35" i="5" s="1"/>
  <c r="E36" i="5" s="1"/>
  <c r="E37" i="5" s="1"/>
  <c r="E38" i="5" s="1"/>
  <c r="E39" i="5" s="1"/>
  <c r="E40" i="5" s="1"/>
  <c r="E41" i="5" s="1"/>
  <c r="E42" i="5" s="1"/>
  <c r="E43" i="5" s="1"/>
  <c r="E44" i="5" s="1"/>
  <c r="E45" i="5" s="1"/>
  <c r="E46" i="5" s="1"/>
  <c r="E47" i="5" s="1"/>
  <c r="E48" i="5" s="1"/>
  <c r="E49" i="5" s="1"/>
  <c r="E50" i="5" s="1"/>
  <c r="E51" i="5" s="1"/>
  <c r="E52" i="5" s="1"/>
  <c r="E53" i="5" s="1"/>
  <c r="E54" i="5" s="1"/>
  <c r="E55" i="5" s="1"/>
  <c r="E56" i="5" s="1"/>
  <c r="E57" i="5" s="1"/>
  <c r="E58" i="5" s="1"/>
  <c r="E59" i="5" s="1"/>
  <c r="E60" i="5" s="1"/>
  <c r="E61" i="5" s="1"/>
  <c r="E62" i="5" s="1"/>
  <c r="E63" i="5" s="1"/>
  <c r="E64" i="5" s="1"/>
  <c r="E65" i="5" s="1"/>
  <c r="E66" i="5" s="1"/>
  <c r="E67" i="5" s="1"/>
  <c r="G8" i="5"/>
  <c r="G15" i="5"/>
  <c r="G31" i="5"/>
  <c r="G36" i="5"/>
  <c r="G9" i="5"/>
  <c r="G10" i="5"/>
  <c r="G28" i="5"/>
  <c r="G25" i="5"/>
  <c r="G41" i="5"/>
  <c r="G21" i="5"/>
  <c r="G40" i="5"/>
  <c r="G32" i="5"/>
  <c r="G37" i="5"/>
  <c r="G17" i="5"/>
  <c r="G11" i="5"/>
  <c r="G30" i="5"/>
  <c r="G20" i="5"/>
  <c r="G26" i="5"/>
  <c r="G17" i="4"/>
  <c r="G27" i="4"/>
  <c r="G13" i="4"/>
  <c r="G18" i="4"/>
  <c r="G41" i="4"/>
  <c r="G8" i="4"/>
  <c r="E8" i="4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E23" i="4" s="1"/>
  <c r="E24" i="4" s="1"/>
  <c r="E25" i="4" s="1"/>
  <c r="E26" i="4" s="1"/>
  <c r="E27" i="4" s="1"/>
  <c r="E28" i="4" s="1"/>
  <c r="E29" i="4" s="1"/>
  <c r="E30" i="4" s="1"/>
  <c r="E31" i="4" s="1"/>
  <c r="E32" i="4" s="1"/>
  <c r="E33" i="4" s="1"/>
  <c r="E34" i="4" s="1"/>
  <c r="E35" i="4" s="1"/>
  <c r="E36" i="4" s="1"/>
  <c r="E37" i="4" s="1"/>
  <c r="E38" i="4" s="1"/>
  <c r="E39" i="4" s="1"/>
  <c r="E40" i="4" s="1"/>
  <c r="E41" i="4" s="1"/>
  <c r="E42" i="4" s="1"/>
  <c r="E43" i="4" s="1"/>
  <c r="E44" i="4" s="1"/>
  <c r="E45" i="4" s="1"/>
  <c r="E46" i="4" s="1"/>
  <c r="E47" i="4" s="1"/>
  <c r="E48" i="4" s="1"/>
  <c r="E49" i="4" s="1"/>
  <c r="E50" i="4" s="1"/>
  <c r="E51" i="4" s="1"/>
  <c r="E52" i="4" s="1"/>
  <c r="E53" i="4" s="1"/>
  <c r="E54" i="4" s="1"/>
  <c r="E55" i="4" s="1"/>
  <c r="E56" i="4" s="1"/>
  <c r="E57" i="4" s="1"/>
  <c r="E58" i="4" s="1"/>
  <c r="E59" i="4" s="1"/>
  <c r="E60" i="4" s="1"/>
  <c r="E61" i="4" s="1"/>
  <c r="E62" i="4" s="1"/>
  <c r="E63" i="4" s="1"/>
  <c r="E64" i="4" s="1"/>
  <c r="E65" i="4" s="1"/>
  <c r="E66" i="4" s="1"/>
  <c r="E67" i="4" s="1"/>
  <c r="G11" i="4"/>
  <c r="G33" i="4"/>
  <c r="G34" i="4"/>
  <c r="G31" i="4"/>
  <c r="G23" i="4"/>
  <c r="G42" i="4"/>
  <c r="G14" i="4"/>
  <c r="G44" i="4"/>
  <c r="G24" i="4"/>
  <c r="G43" i="4"/>
  <c r="G19" i="4"/>
  <c r="G40" i="4"/>
  <c r="G30" i="4"/>
  <c r="G25" i="4"/>
  <c r="G10" i="4"/>
  <c r="G12" i="4"/>
  <c r="G21" i="4"/>
  <c r="G9" i="4"/>
  <c r="G20" i="4"/>
  <c r="G28" i="4"/>
  <c r="G37" i="4"/>
  <c r="G22" i="4"/>
  <c r="G20" i="3"/>
  <c r="G26" i="3"/>
  <c r="G30" i="3"/>
  <c r="G34" i="3"/>
  <c r="G16" i="3"/>
  <c r="G35" i="3"/>
  <c r="G40" i="3"/>
  <c r="G24" i="3"/>
  <c r="G25" i="3"/>
  <c r="G13" i="3"/>
  <c r="G44" i="3"/>
  <c r="G14" i="3"/>
  <c r="G15" i="3"/>
  <c r="G17" i="3"/>
  <c r="G31" i="3"/>
  <c r="G33" i="3"/>
  <c r="G23" i="3"/>
  <c r="G37" i="3"/>
  <c r="G18" i="3"/>
  <c r="G41" i="3"/>
  <c r="G21" i="3"/>
  <c r="G32" i="3"/>
  <c r="G10" i="3"/>
  <c r="G43" i="3"/>
  <c r="G28" i="3"/>
  <c r="G27" i="3"/>
  <c r="E8" i="3"/>
  <c r="E9" i="3" s="1"/>
  <c r="E10" i="3" s="1"/>
  <c r="E11" i="3" s="1"/>
  <c r="E12" i="3" s="1"/>
  <c r="E13" i="3" s="1"/>
  <c r="E14" i="3" s="1"/>
  <c r="E15" i="3" s="1"/>
  <c r="E16" i="3" s="1"/>
  <c r="E17" i="3" s="1"/>
  <c r="E18" i="3" s="1"/>
  <c r="E19" i="3" s="1"/>
  <c r="E20" i="3" s="1"/>
  <c r="E21" i="3" s="1"/>
  <c r="E22" i="3" s="1"/>
  <c r="E23" i="3" s="1"/>
  <c r="E24" i="3" s="1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G8" i="3"/>
  <c r="G11" i="3"/>
  <c r="G36" i="3"/>
  <c r="G24" i="2"/>
  <c r="G34" i="2"/>
  <c r="G31" i="2"/>
  <c r="G29" i="2"/>
  <c r="G40" i="2"/>
  <c r="G11" i="2"/>
  <c r="G32" i="2"/>
  <c r="G39" i="2"/>
  <c r="G14" i="2"/>
  <c r="G41" i="2"/>
  <c r="G22" i="2"/>
  <c r="G13" i="2"/>
  <c r="G36" i="2"/>
  <c r="G9" i="2"/>
  <c r="G20" i="2"/>
  <c r="G43" i="2"/>
  <c r="G25" i="2"/>
  <c r="G44" i="2"/>
  <c r="G19" i="2"/>
  <c r="G42" i="2"/>
  <c r="G10" i="2"/>
  <c r="G33" i="2"/>
  <c r="G26" i="2"/>
  <c r="G16" i="2"/>
  <c r="G27" i="2"/>
  <c r="G15" i="2"/>
  <c r="G28" i="2"/>
  <c r="G30" i="2"/>
  <c r="G21" i="2"/>
  <c r="G12" i="2"/>
  <c r="G23" i="2"/>
  <c r="G37" i="2"/>
  <c r="G35" i="2"/>
  <c r="G17" i="2"/>
  <c r="G18" i="2"/>
  <c r="G8" i="2"/>
  <c r="E8" i="2"/>
  <c r="E9" i="2" s="1"/>
  <c r="E10" i="2" s="1"/>
  <c r="E11" i="2" s="1"/>
  <c r="E12" i="2" s="1"/>
  <c r="E13" i="2" s="1"/>
  <c r="E14" i="2" s="1"/>
  <c r="E15" i="2" s="1"/>
  <c r="E16" i="2" s="1"/>
  <c r="E17" i="2" s="1"/>
  <c r="E18" i="2" s="1"/>
  <c r="E19" i="2" s="1"/>
  <c r="E20" i="2" s="1"/>
  <c r="E21" i="2" s="1"/>
  <c r="E22" i="2" s="1"/>
  <c r="E23" i="2" s="1"/>
  <c r="E24" i="2" s="1"/>
  <c r="E25" i="2" s="1"/>
  <c r="E26" i="2" s="1"/>
  <c r="E27" i="2" s="1"/>
  <c r="E28" i="2" s="1"/>
  <c r="E29" i="2" s="1"/>
  <c r="E30" i="2" s="1"/>
  <c r="E31" i="2" s="1"/>
  <c r="E32" i="2" s="1"/>
  <c r="E33" i="2" s="1"/>
  <c r="E34" i="2" s="1"/>
  <c r="E35" i="2" s="1"/>
  <c r="E36" i="2" s="1"/>
  <c r="E37" i="2" s="1"/>
  <c r="E38" i="2" s="1"/>
  <c r="E39" i="2" s="1"/>
  <c r="E40" i="2" s="1"/>
  <c r="E41" i="2" s="1"/>
  <c r="E42" i="2" s="1"/>
  <c r="E43" i="2" s="1"/>
  <c r="E44" i="2" s="1"/>
  <c r="E45" i="2" s="1"/>
  <c r="E46" i="2" s="1"/>
  <c r="E47" i="2" s="1"/>
  <c r="E48" i="2" s="1"/>
  <c r="E49" i="2" s="1"/>
  <c r="E50" i="2" s="1"/>
  <c r="E51" i="2" s="1"/>
  <c r="E52" i="2" s="1"/>
  <c r="E53" i="2" s="1"/>
  <c r="E54" i="2" s="1"/>
  <c r="E55" i="2" s="1"/>
  <c r="E56" i="2" s="1"/>
  <c r="E57" i="2" s="1"/>
  <c r="E58" i="2" s="1"/>
  <c r="E59" i="2" s="1"/>
  <c r="E60" i="2" s="1"/>
  <c r="E61" i="2" s="1"/>
  <c r="E62" i="2" s="1"/>
  <c r="E63" i="2" s="1"/>
  <c r="E64" i="2" s="1"/>
  <c r="E65" i="2" s="1"/>
  <c r="E66" i="2" s="1"/>
  <c r="E67" i="2" s="1"/>
  <c r="G38" i="2"/>
  <c r="G35" i="1"/>
  <c r="G12" i="1"/>
  <c r="G36" i="1"/>
  <c r="G37" i="1"/>
  <c r="G34" i="1"/>
  <c r="G11" i="1"/>
  <c r="E11" i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E55" i="1" s="1"/>
  <c r="E56" i="1" s="1"/>
  <c r="E57" i="1" s="1"/>
  <c r="E58" i="1" s="1"/>
  <c r="E59" i="1" s="1"/>
  <c r="E60" i="1" s="1"/>
  <c r="E61" i="1" s="1"/>
  <c r="E62" i="1" s="1"/>
  <c r="E63" i="1" s="1"/>
  <c r="E64" i="1" s="1"/>
  <c r="E65" i="1" s="1"/>
  <c r="E66" i="1" s="1"/>
  <c r="E67" i="1" s="1"/>
  <c r="G13" i="1"/>
  <c r="F67" i="5"/>
  <c r="F66" i="5" s="1"/>
  <c r="F65" i="5" s="1"/>
  <c r="F64" i="5" s="1"/>
  <c r="F63" i="5" s="1"/>
  <c r="F62" i="5" s="1"/>
  <c r="F61" i="5" s="1"/>
  <c r="F60" i="5" s="1"/>
  <c r="F59" i="5" s="1"/>
  <c r="F58" i="5" s="1"/>
  <c r="F57" i="5" s="1"/>
  <c r="F56" i="5" s="1"/>
  <c r="F55" i="5" s="1"/>
  <c r="F54" i="5" s="1"/>
  <c r="F53" i="5" s="1"/>
  <c r="F52" i="5" s="1"/>
  <c r="F51" i="5" s="1"/>
  <c r="F50" i="5" s="1"/>
  <c r="F49" i="5" s="1"/>
  <c r="F48" i="5" s="1"/>
  <c r="F47" i="5" s="1"/>
  <c r="F46" i="5" s="1"/>
  <c r="F45" i="5" s="1"/>
  <c r="F44" i="5" s="1"/>
  <c r="F43" i="5" s="1"/>
  <c r="F42" i="5" s="1"/>
  <c r="F41" i="5" s="1"/>
  <c r="F40" i="5" s="1"/>
  <c r="F39" i="5" s="1"/>
  <c r="F38" i="5" s="1"/>
  <c r="F37" i="5" s="1"/>
  <c r="F36" i="5" s="1"/>
  <c r="F35" i="5" s="1"/>
  <c r="F34" i="5" s="1"/>
  <c r="F33" i="5" s="1"/>
  <c r="F32" i="5" s="1"/>
  <c r="F31" i="5" s="1"/>
  <c r="F30" i="5" s="1"/>
  <c r="F29" i="5" s="1"/>
  <c r="F28" i="5" s="1"/>
  <c r="F27" i="5" s="1"/>
  <c r="F26" i="5" s="1"/>
  <c r="F25" i="5" s="1"/>
  <c r="F24" i="5" s="1"/>
  <c r="F23" i="5" s="1"/>
  <c r="F22" i="5" s="1"/>
  <c r="F21" i="5" s="1"/>
  <c r="F20" i="5" s="1"/>
  <c r="F19" i="5" s="1"/>
</calcChain>
</file>

<file path=xl/sharedStrings.xml><?xml version="1.0" encoding="utf-8"?>
<sst xmlns="http://schemas.openxmlformats.org/spreadsheetml/2006/main" count="528" uniqueCount="124">
  <si>
    <t>toe</t>
  </si>
  <si>
    <t>total_length</t>
  </si>
  <si>
    <t>Pipe number</t>
  </si>
  <si>
    <t>pipe0-diameter</t>
  </si>
  <si>
    <t>diameter</t>
  </si>
  <si>
    <t>variable_length</t>
  </si>
  <si>
    <t>length</t>
  </si>
  <si>
    <t>padding</t>
  </si>
  <si>
    <t>cumulative_width</t>
  </si>
  <si>
    <t>max_length</t>
  </si>
  <si>
    <t>small_pipes_cumulative_width</t>
  </si>
  <si>
    <t>small_pipe</t>
  </si>
  <si>
    <t>tray_width</t>
  </si>
  <si>
    <t>flip_length</t>
  </si>
  <si>
    <t>Blocks</t>
  </si>
  <si>
    <t>A</t>
  </si>
  <si>
    <t>MaxH</t>
  </si>
  <si>
    <t>MinH</t>
  </si>
  <si>
    <t>D1</t>
  </si>
  <si>
    <t>DN</t>
  </si>
  <si>
    <t>W</t>
  </si>
  <si>
    <t>Count</t>
  </si>
  <si>
    <t>small_pipe_padding</t>
  </si>
  <si>
    <t>Sums</t>
  </si>
  <si>
    <t>sums</t>
  </si>
  <si>
    <t>8NA</t>
  </si>
  <si>
    <t>8NB</t>
  </si>
  <si>
    <t>8NC</t>
  </si>
  <si>
    <t>8NS</t>
  </si>
  <si>
    <t>8WA</t>
  </si>
  <si>
    <t>8WB</t>
  </si>
  <si>
    <t>8WC</t>
  </si>
  <si>
    <t>8WD</t>
  </si>
  <si>
    <t>8WE</t>
  </si>
  <si>
    <t>8WF</t>
  </si>
  <si>
    <t>8WS</t>
  </si>
  <si>
    <t>4NA</t>
  </si>
  <si>
    <t>4NB</t>
  </si>
  <si>
    <t>4NS</t>
  </si>
  <si>
    <t>4WA</t>
  </si>
  <si>
    <t>4WB</t>
  </si>
  <si>
    <t>4WC</t>
  </si>
  <si>
    <t>4WD</t>
  </si>
  <si>
    <t>4WE</t>
  </si>
  <si>
    <t>4WS</t>
  </si>
  <si>
    <t>2WA</t>
  </si>
  <si>
    <t>2WB</t>
  </si>
  <si>
    <t>1WA</t>
  </si>
  <si>
    <t>1WB</t>
  </si>
  <si>
    <t>1WS</t>
  </si>
  <si>
    <t>******</t>
  </si>
  <si>
    <t>block above this turns sideways</t>
  </si>
  <si>
    <t>2WS</t>
  </si>
  <si>
    <t>NWA</t>
  </si>
  <si>
    <t>NWB</t>
  </si>
  <si>
    <t>NWC</t>
  </si>
  <si>
    <t>NWS</t>
  </si>
  <si>
    <t>POS</t>
  </si>
  <si>
    <t>Bourdon</t>
  </si>
  <si>
    <t>8' Wide</t>
  </si>
  <si>
    <t>4' Wide</t>
  </si>
  <si>
    <t>Flute a.f.</t>
  </si>
  <si>
    <t>Nasard</t>
  </si>
  <si>
    <t>2.66' Wide</t>
  </si>
  <si>
    <t>Doublette</t>
  </si>
  <si>
    <t>1' Wide</t>
  </si>
  <si>
    <t>Cromorne</t>
  </si>
  <si>
    <t>4' Narrow</t>
  </si>
  <si>
    <t>Great</t>
  </si>
  <si>
    <t>Phase 1</t>
  </si>
  <si>
    <t>Mix IV</t>
  </si>
  <si>
    <t>2' Wide</t>
  </si>
  <si>
    <t>Cornet II</t>
  </si>
  <si>
    <t>Pt. Flute</t>
  </si>
  <si>
    <t>Prestant</t>
  </si>
  <si>
    <t>Flute Ch.</t>
  </si>
  <si>
    <t>8WPS</t>
  </si>
  <si>
    <t>end of façade</t>
  </si>
  <si>
    <t>start of unit chest</t>
  </si>
  <si>
    <t>Pedal Octave (partial)</t>
  </si>
  <si>
    <t>8'Wide Pedal Extended 8WPF and 8WPS only</t>
  </si>
  <si>
    <t>Sw</t>
  </si>
  <si>
    <t>8' Fl Doub</t>
  </si>
  <si>
    <t>4' Prest</t>
  </si>
  <si>
    <t>Mix II</t>
  </si>
  <si>
    <t>8' Trumpet</t>
  </si>
  <si>
    <t>8' Bsn</t>
  </si>
  <si>
    <t>8' Viole</t>
  </si>
  <si>
    <t>8' Fl. Dolce</t>
  </si>
  <si>
    <t>8' Celeste TC</t>
  </si>
  <si>
    <t>4' Fl Con. Ext</t>
  </si>
  <si>
    <t>Vox Hum.</t>
  </si>
  <si>
    <t>8' Narrow Extended</t>
  </si>
  <si>
    <t>4' Nrrow Extended</t>
  </si>
  <si>
    <t>Misc</t>
  </si>
  <si>
    <t>Phase 2</t>
  </si>
  <si>
    <t>Montre</t>
  </si>
  <si>
    <t>Pedal</t>
  </si>
  <si>
    <t>Octave</t>
  </si>
  <si>
    <t>8' Wide Pedal Extended - 8WPA through 8WPE</t>
  </si>
  <si>
    <t>Soubasse</t>
  </si>
  <si>
    <t>8' Wide Pedal</t>
  </si>
  <si>
    <t>Bombarde</t>
  </si>
  <si>
    <t>8' Narrow Pedal</t>
  </si>
  <si>
    <t>8' Narrow - excluding 8NA</t>
  </si>
  <si>
    <t>8' Narrow Extended - excluding 8NA</t>
  </si>
  <si>
    <t>8'Narrow - excluding 8NA</t>
  </si>
  <si>
    <t>8' Narrow - 8NA only</t>
  </si>
  <si>
    <t>B</t>
  </si>
  <si>
    <t>C</t>
  </si>
  <si>
    <t>D</t>
  </si>
  <si>
    <t>E</t>
  </si>
  <si>
    <t>F</t>
  </si>
  <si>
    <t>S</t>
  </si>
  <si>
    <t>8NES</t>
  </si>
  <si>
    <t>4NES</t>
  </si>
  <si>
    <t>Same as 8' Wide</t>
  </si>
  <si>
    <t>Same as 4' Narrow</t>
  </si>
  <si>
    <t>Same as 8' Narrow</t>
  </si>
  <si>
    <t>Same as 8' wide and 8' wide pedal</t>
  </si>
  <si>
    <t>8WPES</t>
  </si>
  <si>
    <t>same as 8' narrow</t>
  </si>
  <si>
    <t>8NPC</t>
  </si>
  <si>
    <t>8WPEF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</si>
</sst>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</cellStyleXfs>
  <cellXfs count="3">
    <xf numFmtId="0" fontId="0" fillId="0" borderId="0" xfId="0"/>
    <xf numFmtId="0" fontId="2" fillId="3" borderId="0" xfId="2"/>
    <xf numFmtId="0" fontId="1" fillId="2" borderId="0" xfId="1"/>
  </cellXfs>
  <cellStyles count="3">
    <cellStyle name="Bad" xfId="2" builtinId="27"/>
    <cellStyle name="Good" xfId="1" builtinId="26"/>
    <cellStyle name="Normal" xfId="0" builtinId="0"/>
  </cellStyles>
  <dxfs count="1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EB543-2F7C-4155-A03A-5DA89403361F}">
  <dimension ref="A3:P39"/>
  <sheetViews>
    <sheetView workbookViewId="0">
      <selection activeCell="P27" sqref="P27"/>
    </sheetView>
  </sheetViews>
  <sheetFormatPr defaultRowHeight="15" x14ac:dyDescent="0.25"/>
  <cols>
    <col min="3" max="3" width="20.5703125" customWidth="1"/>
  </cols>
  <sheetData>
    <row r="3" spans="1:16" x14ac:dyDescent="0.25">
      <c r="A3" t="s">
        <v>69</v>
      </c>
      <c r="J3" t="s">
        <v>15</v>
      </c>
      <c r="K3" t="s">
        <v>108</v>
      </c>
      <c r="L3" t="s">
        <v>109</v>
      </c>
      <c r="M3" t="s">
        <v>110</v>
      </c>
      <c r="N3" t="s">
        <v>111</v>
      </c>
      <c r="O3" t="s">
        <v>112</v>
      </c>
      <c r="P3" t="s">
        <v>113</v>
      </c>
    </row>
    <row r="4" spans="1:16" x14ac:dyDescent="0.25">
      <c r="B4" t="s">
        <v>57</v>
      </c>
      <c r="C4" t="s">
        <v>58</v>
      </c>
      <c r="D4" t="s">
        <v>60</v>
      </c>
      <c r="J4" t="s">
        <v>39</v>
      </c>
      <c r="K4" t="s">
        <v>40</v>
      </c>
      <c r="L4" t="s">
        <v>41</v>
      </c>
      <c r="M4" t="s">
        <v>42</v>
      </c>
      <c r="N4" t="s">
        <v>43</v>
      </c>
      <c r="P4" t="s">
        <v>44</v>
      </c>
    </row>
    <row r="5" spans="1:16" x14ac:dyDescent="0.25">
      <c r="C5" t="s">
        <v>61</v>
      </c>
      <c r="D5" t="s">
        <v>60</v>
      </c>
      <c r="J5" t="s">
        <v>39</v>
      </c>
      <c r="K5" t="s">
        <v>40</v>
      </c>
      <c r="L5" t="s">
        <v>41</v>
      </c>
      <c r="M5" t="s">
        <v>42</v>
      </c>
      <c r="N5" t="s">
        <v>43</v>
      </c>
      <c r="P5" t="s">
        <v>44</v>
      </c>
    </row>
    <row r="6" spans="1:16" x14ac:dyDescent="0.25">
      <c r="C6" t="s">
        <v>62</v>
      </c>
      <c r="D6" t="s">
        <v>63</v>
      </c>
      <c r="J6" t="s">
        <v>53</v>
      </c>
      <c r="K6" t="s">
        <v>54</v>
      </c>
      <c r="L6" t="s">
        <v>55</v>
      </c>
      <c r="M6" t="s">
        <v>55</v>
      </c>
      <c r="P6" t="s">
        <v>56</v>
      </c>
    </row>
    <row r="7" spans="1:16" x14ac:dyDescent="0.25">
      <c r="C7" t="s">
        <v>64</v>
      </c>
      <c r="D7" t="s">
        <v>65</v>
      </c>
      <c r="J7" t="s">
        <v>47</v>
      </c>
      <c r="K7" t="s">
        <v>48</v>
      </c>
      <c r="P7" t="s">
        <v>49</v>
      </c>
    </row>
    <row r="8" spans="1:16" x14ac:dyDescent="0.25">
      <c r="C8" t="s">
        <v>66</v>
      </c>
      <c r="D8" t="s">
        <v>67</v>
      </c>
      <c r="J8" t="s">
        <v>36</v>
      </c>
      <c r="K8" t="s">
        <v>37</v>
      </c>
      <c r="P8" t="s">
        <v>38</v>
      </c>
    </row>
    <row r="9" spans="1:16" x14ac:dyDescent="0.25">
      <c r="B9" t="s">
        <v>68</v>
      </c>
      <c r="C9" t="s">
        <v>70</v>
      </c>
      <c r="D9" t="s">
        <v>71</v>
      </c>
      <c r="J9" t="s">
        <v>45</v>
      </c>
      <c r="K9" t="s">
        <v>46</v>
      </c>
      <c r="P9" t="s">
        <v>52</v>
      </c>
    </row>
    <row r="10" spans="1:16" x14ac:dyDescent="0.25">
      <c r="D10" t="s">
        <v>71</v>
      </c>
      <c r="J10" t="s">
        <v>45</v>
      </c>
      <c r="K10" t="s">
        <v>46</v>
      </c>
      <c r="P10" t="s">
        <v>52</v>
      </c>
    </row>
    <row r="11" spans="1:16" x14ac:dyDescent="0.25">
      <c r="D11" t="s">
        <v>65</v>
      </c>
      <c r="J11" t="s">
        <v>47</v>
      </c>
      <c r="K11" t="s">
        <v>48</v>
      </c>
      <c r="P11" t="s">
        <v>49</v>
      </c>
    </row>
    <row r="12" spans="1:16" x14ac:dyDescent="0.25">
      <c r="D12" t="s">
        <v>65</v>
      </c>
      <c r="J12" t="s">
        <v>47</v>
      </c>
      <c r="K12" t="s">
        <v>48</v>
      </c>
      <c r="P12" t="s">
        <v>49</v>
      </c>
    </row>
    <row r="13" spans="1:16" x14ac:dyDescent="0.25">
      <c r="C13" t="s">
        <v>72</v>
      </c>
      <c r="D13" t="s">
        <v>71</v>
      </c>
      <c r="J13" t="s">
        <v>45</v>
      </c>
      <c r="K13" t="s">
        <v>46</v>
      </c>
      <c r="P13" t="s">
        <v>52</v>
      </c>
    </row>
    <row r="14" spans="1:16" x14ac:dyDescent="0.25">
      <c r="D14" t="s">
        <v>65</v>
      </c>
      <c r="J14" t="s">
        <v>47</v>
      </c>
      <c r="K14" t="s">
        <v>48</v>
      </c>
      <c r="P14" t="s">
        <v>49</v>
      </c>
    </row>
    <row r="15" spans="1:16" x14ac:dyDescent="0.25">
      <c r="C15" t="s">
        <v>73</v>
      </c>
      <c r="D15" t="s">
        <v>67</v>
      </c>
      <c r="J15" t="s">
        <v>36</v>
      </c>
      <c r="K15" t="s">
        <v>37</v>
      </c>
      <c r="P15" t="s">
        <v>38</v>
      </c>
    </row>
    <row r="16" spans="1:16" x14ac:dyDescent="0.25">
      <c r="C16" t="s">
        <v>74</v>
      </c>
      <c r="D16" t="s">
        <v>60</v>
      </c>
      <c r="J16" t="s">
        <v>39</v>
      </c>
      <c r="K16" t="s">
        <v>40</v>
      </c>
      <c r="L16" t="s">
        <v>41</v>
      </c>
      <c r="M16" t="s">
        <v>42</v>
      </c>
      <c r="N16" t="s">
        <v>43</v>
      </c>
      <c r="P16" t="s">
        <v>38</v>
      </c>
    </row>
    <row r="17" spans="1:16" x14ac:dyDescent="0.25">
      <c r="C17" t="s">
        <v>75</v>
      </c>
      <c r="D17" t="s">
        <v>60</v>
      </c>
      <c r="J17" t="s">
        <v>39</v>
      </c>
      <c r="K17" t="s">
        <v>40</v>
      </c>
      <c r="L17" t="s">
        <v>41</v>
      </c>
      <c r="M17" t="s">
        <v>42</v>
      </c>
      <c r="N17" t="s">
        <v>43</v>
      </c>
      <c r="P17" t="s">
        <v>38</v>
      </c>
    </row>
    <row r="18" spans="1:16" x14ac:dyDescent="0.25">
      <c r="C18" t="s">
        <v>79</v>
      </c>
      <c r="D18" t="s">
        <v>80</v>
      </c>
      <c r="O18" t="s">
        <v>123</v>
      </c>
      <c r="P18" t="s">
        <v>120</v>
      </c>
    </row>
    <row r="19" spans="1:16" x14ac:dyDescent="0.25">
      <c r="B19" t="s">
        <v>81</v>
      </c>
      <c r="C19" t="s">
        <v>82</v>
      </c>
      <c r="D19" t="s">
        <v>104</v>
      </c>
      <c r="K19" t="s">
        <v>26</v>
      </c>
      <c r="L19" t="s">
        <v>27</v>
      </c>
      <c r="P19" t="s">
        <v>114</v>
      </c>
    </row>
    <row r="20" spans="1:16" x14ac:dyDescent="0.25">
      <c r="C20" t="s">
        <v>83</v>
      </c>
      <c r="D20" t="s">
        <v>60</v>
      </c>
      <c r="J20" t="s">
        <v>39</v>
      </c>
      <c r="K20" t="s">
        <v>40</v>
      </c>
      <c r="L20" t="s">
        <v>41</v>
      </c>
      <c r="M20" t="s">
        <v>42</v>
      </c>
      <c r="N20" t="s">
        <v>43</v>
      </c>
      <c r="P20" t="s">
        <v>38</v>
      </c>
    </row>
    <row r="21" spans="1:16" x14ac:dyDescent="0.25">
      <c r="C21" t="s">
        <v>84</v>
      </c>
      <c r="D21" t="s">
        <v>71</v>
      </c>
      <c r="J21" t="s">
        <v>45</v>
      </c>
      <c r="K21" t="s">
        <v>46</v>
      </c>
      <c r="P21" t="s">
        <v>52</v>
      </c>
    </row>
    <row r="22" spans="1:16" x14ac:dyDescent="0.25">
      <c r="D22" t="s">
        <v>65</v>
      </c>
      <c r="J22" t="s">
        <v>47</v>
      </c>
      <c r="K22" t="s">
        <v>48</v>
      </c>
      <c r="P22" t="s">
        <v>49</v>
      </c>
    </row>
    <row r="23" spans="1:16" x14ac:dyDescent="0.25">
      <c r="C23" t="s">
        <v>85</v>
      </c>
      <c r="D23" t="s">
        <v>92</v>
      </c>
      <c r="J23" t="s">
        <v>25</v>
      </c>
      <c r="K23" t="s">
        <v>26</v>
      </c>
      <c r="L23" t="s">
        <v>27</v>
      </c>
      <c r="P23" t="s">
        <v>114</v>
      </c>
    </row>
    <row r="24" spans="1:16" x14ac:dyDescent="0.25">
      <c r="C24" t="s">
        <v>86</v>
      </c>
      <c r="D24" t="s">
        <v>92</v>
      </c>
      <c r="J24" t="s">
        <v>25</v>
      </c>
      <c r="K24" t="s">
        <v>26</v>
      </c>
      <c r="L24" t="s">
        <v>27</v>
      </c>
      <c r="P24" t="s">
        <v>114</v>
      </c>
    </row>
    <row r="25" spans="1:16" x14ac:dyDescent="0.25">
      <c r="C25" t="s">
        <v>87</v>
      </c>
      <c r="D25" t="s">
        <v>105</v>
      </c>
      <c r="K25" t="s">
        <v>26</v>
      </c>
      <c r="L25" t="s">
        <v>27</v>
      </c>
      <c r="P25" t="s">
        <v>114</v>
      </c>
    </row>
    <row r="26" spans="1:16" x14ac:dyDescent="0.25">
      <c r="C26" t="s">
        <v>88</v>
      </c>
      <c r="D26" t="s">
        <v>106</v>
      </c>
      <c r="K26" t="s">
        <v>26</v>
      </c>
      <c r="L26" t="s">
        <v>27</v>
      </c>
      <c r="P26" t="s">
        <v>28</v>
      </c>
    </row>
    <row r="27" spans="1:16" x14ac:dyDescent="0.25">
      <c r="C27" t="s">
        <v>89</v>
      </c>
      <c r="D27" t="s">
        <v>67</v>
      </c>
      <c r="J27" t="s">
        <v>36</v>
      </c>
      <c r="K27" t="s">
        <v>37</v>
      </c>
      <c r="P27" t="s">
        <v>38</v>
      </c>
    </row>
    <row r="28" spans="1:16" x14ac:dyDescent="0.25">
      <c r="C28" t="s">
        <v>90</v>
      </c>
      <c r="D28" t="s">
        <v>93</v>
      </c>
      <c r="J28" t="s">
        <v>36</v>
      </c>
      <c r="K28" t="s">
        <v>37</v>
      </c>
      <c r="P28" t="s">
        <v>115</v>
      </c>
    </row>
    <row r="29" spans="1:16" x14ac:dyDescent="0.25">
      <c r="C29" t="s">
        <v>91</v>
      </c>
      <c r="D29" t="s">
        <v>94</v>
      </c>
    </row>
    <row r="31" spans="1:16" x14ac:dyDescent="0.25">
      <c r="A31" t="s">
        <v>95</v>
      </c>
    </row>
    <row r="32" spans="1:16" x14ac:dyDescent="0.25">
      <c r="B32" t="s">
        <v>68</v>
      </c>
      <c r="C32" t="s">
        <v>96</v>
      </c>
      <c r="D32" t="s">
        <v>59</v>
      </c>
      <c r="J32" t="s">
        <v>29</v>
      </c>
      <c r="K32" t="s">
        <v>30</v>
      </c>
      <c r="L32" t="s">
        <v>31</v>
      </c>
      <c r="M32" t="s">
        <v>32</v>
      </c>
      <c r="N32" t="s">
        <v>33</v>
      </c>
      <c r="O32" t="s">
        <v>34</v>
      </c>
      <c r="P32" t="s">
        <v>35</v>
      </c>
    </row>
    <row r="33" spans="2:16" x14ac:dyDescent="0.25">
      <c r="C33" t="s">
        <v>58</v>
      </c>
      <c r="D33" t="s">
        <v>59</v>
      </c>
      <c r="J33" t="s">
        <v>29</v>
      </c>
      <c r="K33" t="s">
        <v>30</v>
      </c>
      <c r="L33" t="s">
        <v>31</v>
      </c>
      <c r="M33" t="s">
        <v>32</v>
      </c>
      <c r="N33" t="s">
        <v>33</v>
      </c>
      <c r="O33" t="s">
        <v>34</v>
      </c>
      <c r="P33" t="s">
        <v>35</v>
      </c>
    </row>
    <row r="34" spans="2:16" x14ac:dyDescent="0.25">
      <c r="B34" t="s">
        <v>97</v>
      </c>
      <c r="C34" t="s">
        <v>98</v>
      </c>
      <c r="D34" t="s">
        <v>99</v>
      </c>
      <c r="J34" t="s">
        <v>29</v>
      </c>
      <c r="K34" t="s">
        <v>30</v>
      </c>
      <c r="L34" t="s">
        <v>31</v>
      </c>
      <c r="M34" t="s">
        <v>32</v>
      </c>
      <c r="N34" t="s">
        <v>33</v>
      </c>
    </row>
    <row r="35" spans="2:16" x14ac:dyDescent="0.25">
      <c r="C35" t="s">
        <v>100</v>
      </c>
      <c r="D35" t="s">
        <v>101</v>
      </c>
      <c r="J35" t="s">
        <v>29</v>
      </c>
      <c r="K35" t="s">
        <v>30</v>
      </c>
      <c r="L35" t="s">
        <v>31</v>
      </c>
      <c r="M35" t="s">
        <v>32</v>
      </c>
      <c r="N35" t="s">
        <v>33</v>
      </c>
      <c r="O35" t="s">
        <v>76</v>
      </c>
    </row>
    <row r="36" spans="2:16" x14ac:dyDescent="0.25">
      <c r="C36" t="s">
        <v>102</v>
      </c>
      <c r="D36" t="s">
        <v>103</v>
      </c>
      <c r="J36" t="s">
        <v>25</v>
      </c>
      <c r="K36" t="s">
        <v>26</v>
      </c>
      <c r="L36" t="s">
        <v>122</v>
      </c>
    </row>
    <row r="37" spans="2:16" x14ac:dyDescent="0.25">
      <c r="B37" t="s">
        <v>81</v>
      </c>
      <c r="C37" t="s">
        <v>82</v>
      </c>
      <c r="D37" t="s">
        <v>107</v>
      </c>
      <c r="J37" t="s">
        <v>25</v>
      </c>
    </row>
    <row r="38" spans="2:16" x14ac:dyDescent="0.25">
      <c r="C38" t="s">
        <v>87</v>
      </c>
      <c r="D38" t="s">
        <v>107</v>
      </c>
      <c r="J38" t="s">
        <v>25</v>
      </c>
    </row>
    <row r="39" spans="2:16" x14ac:dyDescent="0.25">
      <c r="C39" t="s">
        <v>88</v>
      </c>
      <c r="D39" t="s">
        <v>107</v>
      </c>
      <c r="J39" t="s">
        <v>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185AA-8034-4F7C-88D3-90E7DAEA4659}">
  <dimension ref="A2:Q67"/>
  <sheetViews>
    <sheetView topLeftCell="A4" workbookViewId="0">
      <selection activeCell="K11" sqref="K11"/>
    </sheetView>
  </sheetViews>
  <sheetFormatPr defaultRowHeight="15" x14ac:dyDescent="0.25"/>
  <cols>
    <col min="1" max="1" width="15.28515625" customWidth="1"/>
  </cols>
  <sheetData>
    <row r="2" spans="1:17" x14ac:dyDescent="0.25">
      <c r="A2" t="s">
        <v>3</v>
      </c>
      <c r="B2">
        <v>1.7</v>
      </c>
      <c r="C2" t="s">
        <v>7</v>
      </c>
      <c r="D2">
        <v>0.25</v>
      </c>
      <c r="G2">
        <v>0.1</v>
      </c>
    </row>
    <row r="3" spans="1:17" x14ac:dyDescent="0.25">
      <c r="A3" t="s">
        <v>0</v>
      </c>
      <c r="B3">
        <v>6</v>
      </c>
      <c r="C3" t="s">
        <v>9</v>
      </c>
      <c r="D3">
        <v>78</v>
      </c>
    </row>
    <row r="4" spans="1:17" x14ac:dyDescent="0.25">
      <c r="A4" t="s">
        <v>1</v>
      </c>
      <c r="B4">
        <v>19</v>
      </c>
      <c r="C4" t="s">
        <v>11</v>
      </c>
      <c r="D4">
        <v>18</v>
      </c>
    </row>
    <row r="5" spans="1:17" x14ac:dyDescent="0.25">
      <c r="A5" t="s">
        <v>5</v>
      </c>
      <c r="B5">
        <f>B4-B3</f>
        <v>13</v>
      </c>
      <c r="C5" t="s">
        <v>12</v>
      </c>
      <c r="D5">
        <v>23</v>
      </c>
    </row>
    <row r="6" spans="1:17" x14ac:dyDescent="0.25">
      <c r="A6" t="s">
        <v>2</v>
      </c>
      <c r="B6" t="s">
        <v>4</v>
      </c>
      <c r="C6" t="s">
        <v>6</v>
      </c>
      <c r="D6" t="s">
        <v>8</v>
      </c>
      <c r="F6" t="s">
        <v>10</v>
      </c>
      <c r="G6" t="s">
        <v>13</v>
      </c>
    </row>
    <row r="7" spans="1:17" x14ac:dyDescent="0.25">
      <c r="A7">
        <v>0</v>
      </c>
      <c r="B7">
        <f>ROUND($B$2*POWER(2,-A7/17),2)</f>
        <v>1.7</v>
      </c>
      <c r="C7">
        <f>ROUND($B$3+$B$5*POWER(2,-A7/12),1)</f>
        <v>19</v>
      </c>
      <c r="D7">
        <f>B7+$D$2</f>
        <v>1.95</v>
      </c>
      <c r="E7">
        <f>IF(C7 &gt; $D$3, 0, B7+$D$2)</f>
        <v>1.95</v>
      </c>
      <c r="F7">
        <f t="shared" ref="F7:F67" si="0">IF(C7 &gt; $D$4, 0, F8+B7+$G$2)</f>
        <v>0</v>
      </c>
      <c r="K7" t="s">
        <v>14</v>
      </c>
      <c r="L7" t="s">
        <v>20</v>
      </c>
      <c r="M7" t="s">
        <v>16</v>
      </c>
      <c r="N7" t="s">
        <v>17</v>
      </c>
      <c r="O7" t="s">
        <v>18</v>
      </c>
      <c r="P7" t="s">
        <v>19</v>
      </c>
      <c r="Q7" t="s">
        <v>21</v>
      </c>
    </row>
    <row r="8" spans="1:17" x14ac:dyDescent="0.25">
      <c r="A8">
        <v>1</v>
      </c>
      <c r="B8">
        <f t="shared" ref="B8:B68" si="1">ROUND($B$2*POWER(2,-A8/17),2)</f>
        <v>1.63</v>
      </c>
      <c r="C8">
        <f t="shared" ref="C8:C68" si="2">ROUND($B$3+$B$5*POWER(2,-A8/12),1)</f>
        <v>18.3</v>
      </c>
      <c r="D8">
        <f>D7+B8+$D$2</f>
        <v>3.83</v>
      </c>
      <c r="E8">
        <f>IF(C8 &gt; $D$3, 0, IF(E7+B8+$D$2 &gt; $D$5, B8+$D$2, E7+B8+$D$2))</f>
        <v>3.83</v>
      </c>
      <c r="F8">
        <f t="shared" si="0"/>
        <v>0</v>
      </c>
      <c r="G8">
        <f>C8+C7</f>
        <v>37.299999999999997</v>
      </c>
      <c r="K8" t="s">
        <v>47</v>
      </c>
      <c r="L8">
        <v>22</v>
      </c>
      <c r="M8">
        <v>19</v>
      </c>
      <c r="N8">
        <v>12.1</v>
      </c>
      <c r="O8">
        <v>1.7</v>
      </c>
      <c r="P8">
        <v>1</v>
      </c>
      <c r="Q8">
        <v>14</v>
      </c>
    </row>
    <row r="9" spans="1:17" x14ac:dyDescent="0.25">
      <c r="A9">
        <v>2</v>
      </c>
      <c r="B9">
        <f t="shared" si="1"/>
        <v>1.57</v>
      </c>
      <c r="C9">
        <f t="shared" si="2"/>
        <v>17.600000000000001</v>
      </c>
      <c r="D9">
        <f t="shared" ref="D9:D68" si="3">D8+B9+$D$2</f>
        <v>5.65</v>
      </c>
      <c r="E9">
        <f t="shared" ref="E9:E68" si="4">IF(C9 &gt; $D$3, 0, IF(E8+B9+$D$2 &gt; $D$5, B9+$D$2, E8+B9+$D$2))</f>
        <v>5.65</v>
      </c>
      <c r="F9">
        <f t="shared" si="0"/>
        <v>41.580000000000027</v>
      </c>
      <c r="G9">
        <f t="shared" ref="G9:G44" si="5">C9+C8</f>
        <v>35.900000000000006</v>
      </c>
      <c r="K9" t="s">
        <v>48</v>
      </c>
      <c r="L9">
        <v>22.8</v>
      </c>
      <c r="M9">
        <v>11.8</v>
      </c>
      <c r="N9">
        <v>7.3</v>
      </c>
      <c r="O9">
        <v>0.96</v>
      </c>
      <c r="P9">
        <v>0.33</v>
      </c>
      <c r="Q9">
        <v>27</v>
      </c>
    </row>
    <row r="10" spans="1:17" x14ac:dyDescent="0.25">
      <c r="A10">
        <v>3</v>
      </c>
      <c r="B10">
        <f t="shared" si="1"/>
        <v>1.5</v>
      </c>
      <c r="C10">
        <f t="shared" si="2"/>
        <v>16.899999999999999</v>
      </c>
      <c r="D10">
        <f t="shared" si="3"/>
        <v>7.4</v>
      </c>
      <c r="E10">
        <f t="shared" si="4"/>
        <v>7.4</v>
      </c>
      <c r="F10">
        <f t="shared" si="0"/>
        <v>39.910000000000025</v>
      </c>
      <c r="G10">
        <f t="shared" si="5"/>
        <v>34.5</v>
      </c>
      <c r="K10" t="s">
        <v>49</v>
      </c>
      <c r="L10">
        <v>7</v>
      </c>
      <c r="M10">
        <v>7.4</v>
      </c>
      <c r="N10">
        <v>6.4</v>
      </c>
      <c r="O10">
        <v>0.3</v>
      </c>
      <c r="P10">
        <v>0.15</v>
      </c>
      <c r="Q10">
        <v>20</v>
      </c>
    </row>
    <row r="11" spans="1:17" x14ac:dyDescent="0.25">
      <c r="A11">
        <v>4</v>
      </c>
      <c r="B11">
        <f t="shared" si="1"/>
        <v>1.44</v>
      </c>
      <c r="C11">
        <f t="shared" si="2"/>
        <v>16.3</v>
      </c>
      <c r="D11">
        <f t="shared" si="3"/>
        <v>9.09</v>
      </c>
      <c r="E11">
        <f t="shared" si="4"/>
        <v>9.09</v>
      </c>
      <c r="F11">
        <f t="shared" si="0"/>
        <v>38.310000000000024</v>
      </c>
      <c r="G11">
        <f t="shared" si="5"/>
        <v>33.200000000000003</v>
      </c>
      <c r="K11" t="s">
        <v>24</v>
      </c>
      <c r="L11">
        <f>SUM(L8:L10)</f>
        <v>51.8</v>
      </c>
      <c r="Q11">
        <f>SUM(Q8:Q10)</f>
        <v>61</v>
      </c>
    </row>
    <row r="12" spans="1:17" x14ac:dyDescent="0.25">
      <c r="A12">
        <v>5</v>
      </c>
      <c r="B12">
        <f t="shared" si="1"/>
        <v>1.39</v>
      </c>
      <c r="C12">
        <f t="shared" si="2"/>
        <v>15.7</v>
      </c>
      <c r="D12">
        <f t="shared" si="3"/>
        <v>10.73</v>
      </c>
      <c r="E12">
        <f t="shared" si="4"/>
        <v>10.73</v>
      </c>
      <c r="F12">
        <f t="shared" si="0"/>
        <v>36.770000000000024</v>
      </c>
      <c r="G12">
        <f t="shared" si="5"/>
        <v>32</v>
      </c>
    </row>
    <row r="13" spans="1:17" x14ac:dyDescent="0.25">
      <c r="A13">
        <v>6</v>
      </c>
      <c r="B13">
        <f t="shared" si="1"/>
        <v>1.33</v>
      </c>
      <c r="C13">
        <f t="shared" si="2"/>
        <v>15.2</v>
      </c>
      <c r="D13">
        <f t="shared" si="3"/>
        <v>12.31</v>
      </c>
      <c r="E13">
        <f t="shared" si="4"/>
        <v>12.31</v>
      </c>
      <c r="F13">
        <f t="shared" si="0"/>
        <v>35.280000000000022</v>
      </c>
      <c r="G13">
        <f t="shared" si="5"/>
        <v>30.9</v>
      </c>
    </row>
    <row r="14" spans="1:17" x14ac:dyDescent="0.25">
      <c r="A14">
        <v>7</v>
      </c>
      <c r="B14">
        <f t="shared" si="1"/>
        <v>1.28</v>
      </c>
      <c r="C14">
        <f t="shared" si="2"/>
        <v>14.7</v>
      </c>
      <c r="D14">
        <f t="shared" si="3"/>
        <v>13.84</v>
      </c>
      <c r="E14">
        <f t="shared" si="4"/>
        <v>13.84</v>
      </c>
      <c r="F14">
        <f t="shared" si="0"/>
        <v>33.850000000000023</v>
      </c>
      <c r="G14">
        <f t="shared" si="5"/>
        <v>29.9</v>
      </c>
    </row>
    <row r="15" spans="1:17" x14ac:dyDescent="0.25">
      <c r="A15">
        <v>8</v>
      </c>
      <c r="B15">
        <f t="shared" si="1"/>
        <v>1.23</v>
      </c>
      <c r="C15">
        <f t="shared" si="2"/>
        <v>14.2</v>
      </c>
      <c r="D15">
        <f t="shared" si="3"/>
        <v>15.32</v>
      </c>
      <c r="E15">
        <f t="shared" si="4"/>
        <v>15.32</v>
      </c>
      <c r="F15">
        <f t="shared" si="0"/>
        <v>32.47000000000002</v>
      </c>
      <c r="G15">
        <f t="shared" si="5"/>
        <v>28.9</v>
      </c>
    </row>
    <row r="16" spans="1:17" x14ac:dyDescent="0.25">
      <c r="A16">
        <v>9</v>
      </c>
      <c r="B16">
        <f t="shared" si="1"/>
        <v>1.18</v>
      </c>
      <c r="C16">
        <f t="shared" si="2"/>
        <v>13.7</v>
      </c>
      <c r="D16">
        <f t="shared" si="3"/>
        <v>16.75</v>
      </c>
      <c r="E16">
        <f t="shared" si="4"/>
        <v>16.75</v>
      </c>
      <c r="F16">
        <f t="shared" si="0"/>
        <v>31.140000000000022</v>
      </c>
      <c r="G16">
        <f t="shared" si="5"/>
        <v>27.9</v>
      </c>
    </row>
    <row r="17" spans="1:7" x14ac:dyDescent="0.25">
      <c r="A17">
        <v>10</v>
      </c>
      <c r="B17">
        <f t="shared" si="1"/>
        <v>1.1299999999999999</v>
      </c>
      <c r="C17">
        <f t="shared" si="2"/>
        <v>13.3</v>
      </c>
      <c r="D17">
        <f t="shared" si="3"/>
        <v>18.13</v>
      </c>
      <c r="E17">
        <f t="shared" si="4"/>
        <v>18.13</v>
      </c>
      <c r="F17">
        <f t="shared" si="0"/>
        <v>29.860000000000021</v>
      </c>
      <c r="G17">
        <f t="shared" si="5"/>
        <v>27</v>
      </c>
    </row>
    <row r="18" spans="1:7" x14ac:dyDescent="0.25">
      <c r="A18">
        <v>11</v>
      </c>
      <c r="B18">
        <f t="shared" si="1"/>
        <v>1.0900000000000001</v>
      </c>
      <c r="C18">
        <f t="shared" si="2"/>
        <v>12.9</v>
      </c>
      <c r="D18">
        <f t="shared" si="3"/>
        <v>19.47</v>
      </c>
      <c r="E18">
        <f t="shared" si="4"/>
        <v>19.47</v>
      </c>
      <c r="F18">
        <f t="shared" si="0"/>
        <v>28.63000000000002</v>
      </c>
      <c r="G18">
        <f t="shared" si="5"/>
        <v>26.200000000000003</v>
      </c>
    </row>
    <row r="19" spans="1:7" x14ac:dyDescent="0.25">
      <c r="A19">
        <v>12</v>
      </c>
      <c r="B19">
        <f t="shared" si="1"/>
        <v>1.04</v>
      </c>
      <c r="C19">
        <f t="shared" si="2"/>
        <v>12.5</v>
      </c>
      <c r="D19">
        <f t="shared" si="3"/>
        <v>20.759999999999998</v>
      </c>
      <c r="E19">
        <f t="shared" si="4"/>
        <v>20.759999999999998</v>
      </c>
      <c r="F19">
        <f t="shared" si="0"/>
        <v>27.440000000000019</v>
      </c>
      <c r="G19">
        <f t="shared" si="5"/>
        <v>25.4</v>
      </c>
    </row>
    <row r="20" spans="1:7" x14ac:dyDescent="0.25">
      <c r="A20">
        <v>13</v>
      </c>
      <c r="B20">
        <f t="shared" si="1"/>
        <v>1</v>
      </c>
      <c r="C20">
        <f t="shared" si="2"/>
        <v>12.1</v>
      </c>
      <c r="D20">
        <f t="shared" si="3"/>
        <v>22.009999999999998</v>
      </c>
      <c r="E20">
        <f t="shared" si="4"/>
        <v>22.009999999999998</v>
      </c>
      <c r="F20">
        <f t="shared" si="0"/>
        <v>26.300000000000018</v>
      </c>
      <c r="G20">
        <f t="shared" si="5"/>
        <v>24.6</v>
      </c>
    </row>
    <row r="21" spans="1:7" x14ac:dyDescent="0.25">
      <c r="A21">
        <v>14</v>
      </c>
      <c r="B21">
        <f t="shared" si="1"/>
        <v>0.96</v>
      </c>
      <c r="C21">
        <f t="shared" si="2"/>
        <v>11.8</v>
      </c>
      <c r="D21">
        <f t="shared" si="3"/>
        <v>23.22</v>
      </c>
      <c r="E21">
        <f t="shared" si="4"/>
        <v>1.21</v>
      </c>
      <c r="F21">
        <f t="shared" si="0"/>
        <v>25.200000000000017</v>
      </c>
      <c r="G21">
        <f t="shared" si="5"/>
        <v>23.9</v>
      </c>
    </row>
    <row r="22" spans="1:7" x14ac:dyDescent="0.25">
      <c r="A22">
        <v>15</v>
      </c>
      <c r="B22">
        <f t="shared" si="1"/>
        <v>0.92</v>
      </c>
      <c r="C22">
        <f t="shared" si="2"/>
        <v>11.5</v>
      </c>
      <c r="D22">
        <f t="shared" si="3"/>
        <v>24.39</v>
      </c>
      <c r="E22">
        <f t="shared" si="4"/>
        <v>2.38</v>
      </c>
      <c r="F22">
        <f t="shared" si="0"/>
        <v>24.140000000000015</v>
      </c>
      <c r="G22">
        <f t="shared" si="5"/>
        <v>23.3</v>
      </c>
    </row>
    <row r="23" spans="1:7" x14ac:dyDescent="0.25">
      <c r="A23">
        <v>16</v>
      </c>
      <c r="B23">
        <f t="shared" si="1"/>
        <v>0.89</v>
      </c>
      <c r="C23">
        <f t="shared" si="2"/>
        <v>11.2</v>
      </c>
      <c r="D23">
        <f t="shared" si="3"/>
        <v>25.53</v>
      </c>
      <c r="E23">
        <f t="shared" si="4"/>
        <v>3.52</v>
      </c>
      <c r="F23">
        <f t="shared" si="0"/>
        <v>23.120000000000012</v>
      </c>
      <c r="G23">
        <f t="shared" si="5"/>
        <v>22.7</v>
      </c>
    </row>
    <row r="24" spans="1:7" x14ac:dyDescent="0.25">
      <c r="A24">
        <v>17</v>
      </c>
      <c r="B24">
        <f t="shared" si="1"/>
        <v>0.85</v>
      </c>
      <c r="C24">
        <f t="shared" si="2"/>
        <v>10.9</v>
      </c>
      <c r="D24">
        <f t="shared" si="3"/>
        <v>26.630000000000003</v>
      </c>
      <c r="E24">
        <f t="shared" si="4"/>
        <v>4.62</v>
      </c>
      <c r="F24">
        <f t="shared" si="0"/>
        <v>22.13000000000001</v>
      </c>
      <c r="G24">
        <f t="shared" si="5"/>
        <v>22.1</v>
      </c>
    </row>
    <row r="25" spans="1:7" x14ac:dyDescent="0.25">
      <c r="A25">
        <v>18</v>
      </c>
      <c r="B25">
        <f t="shared" si="1"/>
        <v>0.82</v>
      </c>
      <c r="C25">
        <f t="shared" si="2"/>
        <v>10.6</v>
      </c>
      <c r="D25">
        <f t="shared" si="3"/>
        <v>27.700000000000003</v>
      </c>
      <c r="E25">
        <f t="shared" si="4"/>
        <v>5.69</v>
      </c>
      <c r="F25">
        <f t="shared" si="0"/>
        <v>21.180000000000007</v>
      </c>
      <c r="G25">
        <f t="shared" si="5"/>
        <v>21.5</v>
      </c>
    </row>
    <row r="26" spans="1:7" x14ac:dyDescent="0.25">
      <c r="A26">
        <v>19</v>
      </c>
      <c r="B26">
        <f t="shared" si="1"/>
        <v>0.78</v>
      </c>
      <c r="C26">
        <f t="shared" si="2"/>
        <v>10.3</v>
      </c>
      <c r="D26">
        <f t="shared" si="3"/>
        <v>28.730000000000004</v>
      </c>
      <c r="E26">
        <f t="shared" si="4"/>
        <v>6.7200000000000006</v>
      </c>
      <c r="F26">
        <f t="shared" si="0"/>
        <v>20.260000000000005</v>
      </c>
      <c r="G26">
        <f t="shared" si="5"/>
        <v>20.9</v>
      </c>
    </row>
    <row r="27" spans="1:7" x14ac:dyDescent="0.25">
      <c r="A27">
        <v>20</v>
      </c>
      <c r="B27">
        <f t="shared" si="1"/>
        <v>0.75</v>
      </c>
      <c r="C27">
        <f t="shared" si="2"/>
        <v>10.1</v>
      </c>
      <c r="D27">
        <f t="shared" si="3"/>
        <v>29.730000000000004</v>
      </c>
      <c r="E27">
        <f t="shared" si="4"/>
        <v>7.7200000000000006</v>
      </c>
      <c r="F27">
        <f t="shared" si="0"/>
        <v>19.380000000000003</v>
      </c>
      <c r="G27">
        <f t="shared" si="5"/>
        <v>20.399999999999999</v>
      </c>
    </row>
    <row r="28" spans="1:7" x14ac:dyDescent="0.25">
      <c r="A28">
        <v>21</v>
      </c>
      <c r="B28">
        <f t="shared" si="1"/>
        <v>0.72</v>
      </c>
      <c r="C28">
        <f t="shared" si="2"/>
        <v>9.9</v>
      </c>
      <c r="D28">
        <f t="shared" si="3"/>
        <v>30.700000000000003</v>
      </c>
      <c r="E28">
        <f t="shared" si="4"/>
        <v>8.6900000000000013</v>
      </c>
      <c r="F28">
        <f t="shared" si="0"/>
        <v>18.53</v>
      </c>
      <c r="G28">
        <f t="shared" si="5"/>
        <v>20</v>
      </c>
    </row>
    <row r="29" spans="1:7" x14ac:dyDescent="0.25">
      <c r="A29">
        <v>22</v>
      </c>
      <c r="B29">
        <f t="shared" si="1"/>
        <v>0.69</v>
      </c>
      <c r="C29">
        <f t="shared" si="2"/>
        <v>9.6</v>
      </c>
      <c r="D29">
        <f t="shared" si="3"/>
        <v>31.640000000000004</v>
      </c>
      <c r="E29">
        <f t="shared" si="4"/>
        <v>9.6300000000000008</v>
      </c>
      <c r="F29">
        <f t="shared" si="0"/>
        <v>17.71</v>
      </c>
      <c r="G29">
        <f t="shared" si="5"/>
        <v>19.5</v>
      </c>
    </row>
    <row r="30" spans="1:7" x14ac:dyDescent="0.25">
      <c r="A30">
        <v>23</v>
      </c>
      <c r="B30">
        <f t="shared" si="1"/>
        <v>0.67</v>
      </c>
      <c r="C30">
        <f t="shared" si="2"/>
        <v>9.4</v>
      </c>
      <c r="D30">
        <f t="shared" si="3"/>
        <v>32.56</v>
      </c>
      <c r="E30">
        <f t="shared" si="4"/>
        <v>10.55</v>
      </c>
      <c r="F30">
        <f t="shared" si="0"/>
        <v>16.919999999999998</v>
      </c>
      <c r="G30">
        <f t="shared" si="5"/>
        <v>19</v>
      </c>
    </row>
    <row r="31" spans="1:7" x14ac:dyDescent="0.25">
      <c r="A31">
        <v>24</v>
      </c>
      <c r="B31">
        <f t="shared" si="1"/>
        <v>0.64</v>
      </c>
      <c r="C31">
        <f t="shared" si="2"/>
        <v>9.3000000000000007</v>
      </c>
      <c r="D31">
        <f t="shared" si="3"/>
        <v>33.450000000000003</v>
      </c>
      <c r="E31">
        <f t="shared" si="4"/>
        <v>11.440000000000001</v>
      </c>
      <c r="F31">
        <f t="shared" si="0"/>
        <v>16.149999999999995</v>
      </c>
      <c r="G31">
        <f t="shared" si="5"/>
        <v>18.700000000000003</v>
      </c>
    </row>
    <row r="32" spans="1:7" x14ac:dyDescent="0.25">
      <c r="A32">
        <v>25</v>
      </c>
      <c r="B32">
        <f t="shared" si="1"/>
        <v>0.61</v>
      </c>
      <c r="C32">
        <f t="shared" si="2"/>
        <v>9.1</v>
      </c>
      <c r="D32">
        <f t="shared" si="3"/>
        <v>34.31</v>
      </c>
      <c r="E32">
        <f t="shared" si="4"/>
        <v>12.3</v>
      </c>
      <c r="F32">
        <f t="shared" si="0"/>
        <v>15.409999999999993</v>
      </c>
      <c r="G32">
        <f t="shared" si="5"/>
        <v>18.399999999999999</v>
      </c>
    </row>
    <row r="33" spans="1:7" x14ac:dyDescent="0.25">
      <c r="A33">
        <v>26</v>
      </c>
      <c r="B33">
        <f t="shared" si="1"/>
        <v>0.59</v>
      </c>
      <c r="C33">
        <f t="shared" si="2"/>
        <v>8.9</v>
      </c>
      <c r="D33">
        <f t="shared" si="3"/>
        <v>35.150000000000006</v>
      </c>
      <c r="E33">
        <f t="shared" si="4"/>
        <v>13.14</v>
      </c>
      <c r="F33">
        <f t="shared" si="0"/>
        <v>14.699999999999994</v>
      </c>
      <c r="G33">
        <f t="shared" si="5"/>
        <v>18</v>
      </c>
    </row>
    <row r="34" spans="1:7" x14ac:dyDescent="0.25">
      <c r="A34">
        <v>27</v>
      </c>
      <c r="B34">
        <f t="shared" si="1"/>
        <v>0.56999999999999995</v>
      </c>
      <c r="C34">
        <f t="shared" si="2"/>
        <v>8.6999999999999993</v>
      </c>
      <c r="D34">
        <f t="shared" si="3"/>
        <v>35.970000000000006</v>
      </c>
      <c r="E34">
        <f t="shared" si="4"/>
        <v>13.96</v>
      </c>
      <c r="F34">
        <f t="shared" si="0"/>
        <v>14.009999999999994</v>
      </c>
      <c r="G34">
        <f t="shared" si="5"/>
        <v>17.600000000000001</v>
      </c>
    </row>
    <row r="35" spans="1:7" x14ac:dyDescent="0.25">
      <c r="A35">
        <v>28</v>
      </c>
      <c r="B35">
        <f t="shared" si="1"/>
        <v>0.54</v>
      </c>
      <c r="C35">
        <f t="shared" si="2"/>
        <v>8.6</v>
      </c>
      <c r="D35">
        <f t="shared" si="3"/>
        <v>36.760000000000005</v>
      </c>
      <c r="E35">
        <f t="shared" si="4"/>
        <v>14.75</v>
      </c>
      <c r="F35">
        <f t="shared" si="0"/>
        <v>13.339999999999995</v>
      </c>
      <c r="G35">
        <f t="shared" si="5"/>
        <v>17.299999999999997</v>
      </c>
    </row>
    <row r="36" spans="1:7" x14ac:dyDescent="0.25">
      <c r="A36">
        <v>29</v>
      </c>
      <c r="B36">
        <f t="shared" si="1"/>
        <v>0.52</v>
      </c>
      <c r="C36">
        <f t="shared" si="2"/>
        <v>8.4</v>
      </c>
      <c r="D36">
        <f t="shared" si="3"/>
        <v>37.530000000000008</v>
      </c>
      <c r="E36">
        <f t="shared" si="4"/>
        <v>15.52</v>
      </c>
      <c r="F36">
        <f t="shared" si="0"/>
        <v>12.699999999999996</v>
      </c>
      <c r="G36">
        <f t="shared" si="5"/>
        <v>17</v>
      </c>
    </row>
    <row r="37" spans="1:7" x14ac:dyDescent="0.25">
      <c r="A37">
        <v>30</v>
      </c>
      <c r="B37">
        <f t="shared" si="1"/>
        <v>0.5</v>
      </c>
      <c r="C37">
        <f t="shared" si="2"/>
        <v>8.3000000000000007</v>
      </c>
      <c r="D37">
        <f t="shared" si="3"/>
        <v>38.280000000000008</v>
      </c>
      <c r="E37">
        <f t="shared" si="4"/>
        <v>16.27</v>
      </c>
      <c r="F37">
        <f t="shared" si="0"/>
        <v>12.079999999999997</v>
      </c>
      <c r="G37">
        <f t="shared" si="5"/>
        <v>16.700000000000003</v>
      </c>
    </row>
    <row r="38" spans="1:7" x14ac:dyDescent="0.25">
      <c r="A38">
        <v>31</v>
      </c>
      <c r="B38">
        <f t="shared" si="1"/>
        <v>0.48</v>
      </c>
      <c r="C38">
        <f t="shared" si="2"/>
        <v>8.1999999999999993</v>
      </c>
      <c r="D38">
        <f t="shared" si="3"/>
        <v>39.010000000000005</v>
      </c>
      <c r="E38">
        <f t="shared" si="4"/>
        <v>17</v>
      </c>
      <c r="F38">
        <f t="shared" si="0"/>
        <v>11.479999999999997</v>
      </c>
      <c r="G38">
        <f t="shared" si="5"/>
        <v>16.5</v>
      </c>
    </row>
    <row r="39" spans="1:7" x14ac:dyDescent="0.25">
      <c r="A39">
        <v>32</v>
      </c>
      <c r="B39">
        <f t="shared" si="1"/>
        <v>0.46</v>
      </c>
      <c r="C39">
        <f t="shared" si="2"/>
        <v>8</v>
      </c>
      <c r="D39">
        <f t="shared" si="3"/>
        <v>39.720000000000006</v>
      </c>
      <c r="E39">
        <f t="shared" si="4"/>
        <v>17.71</v>
      </c>
      <c r="F39">
        <f t="shared" si="0"/>
        <v>10.899999999999997</v>
      </c>
      <c r="G39">
        <f t="shared" si="5"/>
        <v>16.2</v>
      </c>
    </row>
    <row r="40" spans="1:7" x14ac:dyDescent="0.25">
      <c r="A40">
        <v>33</v>
      </c>
      <c r="B40">
        <f t="shared" si="1"/>
        <v>0.44</v>
      </c>
      <c r="C40">
        <f t="shared" si="2"/>
        <v>7.9</v>
      </c>
      <c r="D40">
        <f t="shared" si="3"/>
        <v>40.410000000000004</v>
      </c>
      <c r="E40">
        <f t="shared" si="4"/>
        <v>18.400000000000002</v>
      </c>
      <c r="F40">
        <f t="shared" si="0"/>
        <v>10.339999999999996</v>
      </c>
      <c r="G40">
        <f t="shared" si="5"/>
        <v>15.9</v>
      </c>
    </row>
    <row r="41" spans="1:7" x14ac:dyDescent="0.25">
      <c r="A41">
        <v>34</v>
      </c>
      <c r="B41">
        <f t="shared" si="1"/>
        <v>0.43</v>
      </c>
      <c r="C41">
        <f t="shared" si="2"/>
        <v>7.8</v>
      </c>
      <c r="D41">
        <f t="shared" si="3"/>
        <v>41.09</v>
      </c>
      <c r="E41">
        <f t="shared" si="4"/>
        <v>19.080000000000002</v>
      </c>
      <c r="F41">
        <f t="shared" si="0"/>
        <v>9.7999999999999972</v>
      </c>
      <c r="G41">
        <f t="shared" si="5"/>
        <v>15.7</v>
      </c>
    </row>
    <row r="42" spans="1:7" x14ac:dyDescent="0.25">
      <c r="A42">
        <v>35</v>
      </c>
      <c r="B42">
        <f t="shared" si="1"/>
        <v>0.41</v>
      </c>
      <c r="C42">
        <f t="shared" si="2"/>
        <v>7.7</v>
      </c>
      <c r="D42">
        <f t="shared" si="3"/>
        <v>41.75</v>
      </c>
      <c r="E42">
        <f t="shared" si="4"/>
        <v>19.740000000000002</v>
      </c>
      <c r="F42">
        <f t="shared" si="0"/>
        <v>9.2699999999999978</v>
      </c>
      <c r="G42">
        <f t="shared" si="5"/>
        <v>15.5</v>
      </c>
    </row>
    <row r="43" spans="1:7" x14ac:dyDescent="0.25">
      <c r="A43">
        <v>36</v>
      </c>
      <c r="B43">
        <f t="shared" si="1"/>
        <v>0.39</v>
      </c>
      <c r="C43">
        <f t="shared" si="2"/>
        <v>7.6</v>
      </c>
      <c r="D43">
        <f t="shared" si="3"/>
        <v>42.39</v>
      </c>
      <c r="E43">
        <f t="shared" si="4"/>
        <v>20.380000000000003</v>
      </c>
      <c r="F43">
        <f t="shared" si="0"/>
        <v>8.759999999999998</v>
      </c>
      <c r="G43">
        <f t="shared" si="5"/>
        <v>15.3</v>
      </c>
    </row>
    <row r="44" spans="1:7" x14ac:dyDescent="0.25">
      <c r="A44">
        <v>37</v>
      </c>
      <c r="B44">
        <f t="shared" si="1"/>
        <v>0.38</v>
      </c>
      <c r="C44">
        <f t="shared" si="2"/>
        <v>7.5</v>
      </c>
      <c r="D44">
        <f t="shared" si="3"/>
        <v>43.02</v>
      </c>
      <c r="E44">
        <f t="shared" si="4"/>
        <v>21.01</v>
      </c>
      <c r="F44">
        <f t="shared" si="0"/>
        <v>8.2699999999999978</v>
      </c>
      <c r="G44">
        <f t="shared" si="5"/>
        <v>15.1</v>
      </c>
    </row>
    <row r="45" spans="1:7" x14ac:dyDescent="0.25">
      <c r="A45">
        <v>38</v>
      </c>
      <c r="B45">
        <f t="shared" si="1"/>
        <v>0.36</v>
      </c>
      <c r="C45">
        <f t="shared" si="2"/>
        <v>7.4</v>
      </c>
      <c r="D45">
        <f t="shared" si="3"/>
        <v>43.63</v>
      </c>
      <c r="E45">
        <f t="shared" si="4"/>
        <v>21.62</v>
      </c>
      <c r="F45">
        <f t="shared" si="0"/>
        <v>7.7899999999999974</v>
      </c>
    </row>
    <row r="46" spans="1:7" x14ac:dyDescent="0.25">
      <c r="A46">
        <v>39</v>
      </c>
      <c r="B46">
        <f t="shared" si="1"/>
        <v>0.35</v>
      </c>
      <c r="C46">
        <f t="shared" si="2"/>
        <v>7.4</v>
      </c>
      <c r="D46">
        <f t="shared" si="3"/>
        <v>44.230000000000004</v>
      </c>
      <c r="E46">
        <f t="shared" si="4"/>
        <v>22.220000000000002</v>
      </c>
      <c r="F46">
        <f t="shared" si="0"/>
        <v>7.3299999999999974</v>
      </c>
    </row>
    <row r="47" spans="1:7" x14ac:dyDescent="0.25">
      <c r="A47">
        <v>40</v>
      </c>
      <c r="B47">
        <f t="shared" si="1"/>
        <v>0.33</v>
      </c>
      <c r="C47">
        <f t="shared" si="2"/>
        <v>7.3</v>
      </c>
      <c r="D47">
        <f t="shared" si="3"/>
        <v>44.81</v>
      </c>
      <c r="E47">
        <f t="shared" si="4"/>
        <v>22.8</v>
      </c>
      <c r="F47">
        <f t="shared" si="0"/>
        <v>6.8799999999999981</v>
      </c>
    </row>
    <row r="48" spans="1:7" x14ac:dyDescent="0.25">
      <c r="A48">
        <v>41</v>
      </c>
      <c r="B48">
        <f t="shared" si="1"/>
        <v>0.32</v>
      </c>
      <c r="C48">
        <f t="shared" si="2"/>
        <v>7.2</v>
      </c>
      <c r="D48">
        <f t="shared" si="3"/>
        <v>45.38</v>
      </c>
      <c r="E48">
        <f t="shared" si="4"/>
        <v>0.57000000000000006</v>
      </c>
      <c r="F48">
        <f t="shared" si="0"/>
        <v>6.4499999999999984</v>
      </c>
    </row>
    <row r="49" spans="1:6" x14ac:dyDescent="0.25">
      <c r="A49">
        <v>42</v>
      </c>
      <c r="B49">
        <f t="shared" si="1"/>
        <v>0.31</v>
      </c>
      <c r="C49">
        <f t="shared" si="2"/>
        <v>7.1</v>
      </c>
      <c r="D49">
        <f t="shared" si="3"/>
        <v>45.940000000000005</v>
      </c>
      <c r="E49">
        <f t="shared" si="4"/>
        <v>1.1300000000000001</v>
      </c>
      <c r="F49">
        <f t="shared" si="0"/>
        <v>6.0299999999999985</v>
      </c>
    </row>
    <row r="50" spans="1:6" x14ac:dyDescent="0.25">
      <c r="A50">
        <v>43</v>
      </c>
      <c r="B50">
        <f t="shared" si="1"/>
        <v>0.28999999999999998</v>
      </c>
      <c r="C50">
        <f t="shared" si="2"/>
        <v>7.1</v>
      </c>
      <c r="D50">
        <f t="shared" si="3"/>
        <v>46.480000000000004</v>
      </c>
      <c r="E50">
        <f t="shared" si="4"/>
        <v>1.6700000000000002</v>
      </c>
      <c r="F50">
        <f t="shared" si="0"/>
        <v>5.6199999999999992</v>
      </c>
    </row>
    <row r="51" spans="1:6" x14ac:dyDescent="0.25">
      <c r="A51">
        <v>44</v>
      </c>
      <c r="B51">
        <f t="shared" si="1"/>
        <v>0.28000000000000003</v>
      </c>
      <c r="C51">
        <f t="shared" si="2"/>
        <v>7</v>
      </c>
      <c r="D51">
        <f t="shared" si="3"/>
        <v>47.010000000000005</v>
      </c>
      <c r="E51">
        <f t="shared" si="4"/>
        <v>2.2000000000000002</v>
      </c>
      <c r="F51">
        <f t="shared" si="0"/>
        <v>5.2299999999999995</v>
      </c>
    </row>
    <row r="52" spans="1:6" x14ac:dyDescent="0.25">
      <c r="A52">
        <v>45</v>
      </c>
      <c r="B52">
        <f t="shared" si="1"/>
        <v>0.27</v>
      </c>
      <c r="C52">
        <f t="shared" si="2"/>
        <v>7</v>
      </c>
      <c r="D52">
        <f t="shared" si="3"/>
        <v>47.530000000000008</v>
      </c>
      <c r="E52">
        <f t="shared" si="4"/>
        <v>2.72</v>
      </c>
      <c r="F52">
        <f t="shared" si="0"/>
        <v>4.8499999999999996</v>
      </c>
    </row>
    <row r="53" spans="1:6" x14ac:dyDescent="0.25">
      <c r="A53">
        <v>46</v>
      </c>
      <c r="B53">
        <f t="shared" si="1"/>
        <v>0.26</v>
      </c>
      <c r="C53">
        <f t="shared" si="2"/>
        <v>6.9</v>
      </c>
      <c r="D53">
        <f t="shared" si="3"/>
        <v>48.040000000000006</v>
      </c>
      <c r="E53">
        <f t="shared" si="4"/>
        <v>3.2300000000000004</v>
      </c>
      <c r="F53">
        <f t="shared" si="0"/>
        <v>4.4800000000000004</v>
      </c>
    </row>
    <row r="54" spans="1:6" x14ac:dyDescent="0.25">
      <c r="A54">
        <v>47</v>
      </c>
      <c r="B54">
        <f t="shared" si="1"/>
        <v>0.25</v>
      </c>
      <c r="C54">
        <f t="shared" si="2"/>
        <v>6.9</v>
      </c>
      <c r="D54">
        <f t="shared" si="3"/>
        <v>48.540000000000006</v>
      </c>
      <c r="E54">
        <f t="shared" si="4"/>
        <v>3.7300000000000004</v>
      </c>
      <c r="F54">
        <f t="shared" si="0"/>
        <v>4.120000000000001</v>
      </c>
    </row>
    <row r="55" spans="1:6" x14ac:dyDescent="0.25">
      <c r="A55">
        <v>48</v>
      </c>
      <c r="B55">
        <f t="shared" si="1"/>
        <v>0.24</v>
      </c>
      <c r="C55">
        <f t="shared" si="2"/>
        <v>6.8</v>
      </c>
      <c r="D55">
        <f t="shared" si="3"/>
        <v>49.030000000000008</v>
      </c>
      <c r="E55">
        <f t="shared" si="4"/>
        <v>4.2200000000000006</v>
      </c>
      <c r="F55">
        <f t="shared" si="0"/>
        <v>3.7700000000000009</v>
      </c>
    </row>
    <row r="56" spans="1:6" x14ac:dyDescent="0.25">
      <c r="A56">
        <v>49</v>
      </c>
      <c r="B56">
        <f t="shared" si="1"/>
        <v>0.23</v>
      </c>
      <c r="C56">
        <f t="shared" si="2"/>
        <v>6.8</v>
      </c>
      <c r="D56">
        <f t="shared" si="3"/>
        <v>49.510000000000005</v>
      </c>
      <c r="E56">
        <f t="shared" si="4"/>
        <v>4.7000000000000011</v>
      </c>
      <c r="F56">
        <f t="shared" si="0"/>
        <v>3.430000000000001</v>
      </c>
    </row>
    <row r="57" spans="1:6" x14ac:dyDescent="0.25">
      <c r="A57">
        <v>50</v>
      </c>
      <c r="B57">
        <f t="shared" si="1"/>
        <v>0.22</v>
      </c>
      <c r="C57">
        <f t="shared" si="2"/>
        <v>6.7</v>
      </c>
      <c r="D57">
        <f t="shared" si="3"/>
        <v>49.980000000000004</v>
      </c>
      <c r="E57">
        <f t="shared" si="4"/>
        <v>5.1700000000000008</v>
      </c>
      <c r="F57">
        <f t="shared" si="0"/>
        <v>3.100000000000001</v>
      </c>
    </row>
    <row r="58" spans="1:6" x14ac:dyDescent="0.25">
      <c r="A58">
        <v>51</v>
      </c>
      <c r="B58">
        <f t="shared" si="1"/>
        <v>0.21</v>
      </c>
      <c r="C58">
        <f t="shared" si="2"/>
        <v>6.7</v>
      </c>
      <c r="D58">
        <f t="shared" si="3"/>
        <v>50.440000000000005</v>
      </c>
      <c r="E58">
        <f t="shared" si="4"/>
        <v>5.6300000000000008</v>
      </c>
      <c r="F58">
        <f t="shared" si="0"/>
        <v>2.7800000000000007</v>
      </c>
    </row>
    <row r="59" spans="1:6" x14ac:dyDescent="0.25">
      <c r="A59">
        <v>52</v>
      </c>
      <c r="B59">
        <f t="shared" si="1"/>
        <v>0.2</v>
      </c>
      <c r="C59">
        <f t="shared" si="2"/>
        <v>6.6</v>
      </c>
      <c r="D59">
        <f t="shared" si="3"/>
        <v>50.890000000000008</v>
      </c>
      <c r="E59">
        <f t="shared" si="4"/>
        <v>6.080000000000001</v>
      </c>
      <c r="F59">
        <f t="shared" si="0"/>
        <v>2.4700000000000006</v>
      </c>
    </row>
    <row r="60" spans="1:6" x14ac:dyDescent="0.25">
      <c r="A60">
        <v>53</v>
      </c>
      <c r="B60">
        <f t="shared" si="1"/>
        <v>0.2</v>
      </c>
      <c r="C60">
        <f t="shared" si="2"/>
        <v>6.6</v>
      </c>
      <c r="D60">
        <f t="shared" si="3"/>
        <v>51.340000000000011</v>
      </c>
      <c r="E60">
        <f t="shared" si="4"/>
        <v>6.5300000000000011</v>
      </c>
      <c r="F60">
        <f t="shared" si="0"/>
        <v>2.1700000000000004</v>
      </c>
    </row>
    <row r="61" spans="1:6" x14ac:dyDescent="0.25">
      <c r="A61">
        <v>54</v>
      </c>
      <c r="B61">
        <f t="shared" si="1"/>
        <v>0.19</v>
      </c>
      <c r="C61">
        <f t="shared" si="2"/>
        <v>6.6</v>
      </c>
      <c r="D61">
        <f t="shared" si="3"/>
        <v>51.780000000000008</v>
      </c>
      <c r="E61">
        <f t="shared" si="4"/>
        <v>6.9700000000000015</v>
      </c>
      <c r="F61">
        <f t="shared" si="0"/>
        <v>1.87</v>
      </c>
    </row>
    <row r="62" spans="1:6" x14ac:dyDescent="0.25">
      <c r="A62">
        <v>55</v>
      </c>
      <c r="B62">
        <f t="shared" si="1"/>
        <v>0.18</v>
      </c>
      <c r="C62">
        <f t="shared" si="2"/>
        <v>6.5</v>
      </c>
      <c r="D62">
        <f t="shared" si="3"/>
        <v>52.210000000000008</v>
      </c>
      <c r="E62">
        <f t="shared" si="4"/>
        <v>7.4000000000000012</v>
      </c>
      <c r="F62">
        <f t="shared" si="0"/>
        <v>1.58</v>
      </c>
    </row>
    <row r="63" spans="1:6" x14ac:dyDescent="0.25">
      <c r="A63">
        <v>56</v>
      </c>
      <c r="B63">
        <f t="shared" si="1"/>
        <v>0.17</v>
      </c>
      <c r="C63">
        <f t="shared" si="2"/>
        <v>6.5</v>
      </c>
      <c r="D63">
        <f t="shared" si="3"/>
        <v>52.63000000000001</v>
      </c>
      <c r="E63">
        <f t="shared" si="4"/>
        <v>7.8200000000000012</v>
      </c>
      <c r="F63">
        <f t="shared" si="0"/>
        <v>1.3</v>
      </c>
    </row>
    <row r="64" spans="1:6" x14ac:dyDescent="0.25">
      <c r="A64">
        <v>57</v>
      </c>
      <c r="B64">
        <f t="shared" si="1"/>
        <v>0.17</v>
      </c>
      <c r="C64">
        <f t="shared" si="2"/>
        <v>6.5</v>
      </c>
      <c r="D64">
        <f t="shared" si="3"/>
        <v>53.050000000000011</v>
      </c>
      <c r="E64">
        <f t="shared" si="4"/>
        <v>8.240000000000002</v>
      </c>
      <c r="F64">
        <f t="shared" si="0"/>
        <v>1.03</v>
      </c>
    </row>
    <row r="65" spans="1:6" x14ac:dyDescent="0.25">
      <c r="A65">
        <v>58</v>
      </c>
      <c r="B65">
        <f t="shared" si="1"/>
        <v>0.16</v>
      </c>
      <c r="C65">
        <f t="shared" si="2"/>
        <v>6.5</v>
      </c>
      <c r="D65">
        <f t="shared" si="3"/>
        <v>53.460000000000008</v>
      </c>
      <c r="E65">
        <f t="shared" si="4"/>
        <v>8.6500000000000021</v>
      </c>
      <c r="F65">
        <f t="shared" si="0"/>
        <v>0.76</v>
      </c>
    </row>
    <row r="66" spans="1:6" x14ac:dyDescent="0.25">
      <c r="A66">
        <v>59</v>
      </c>
      <c r="B66">
        <f t="shared" si="1"/>
        <v>0.15</v>
      </c>
      <c r="C66">
        <f t="shared" si="2"/>
        <v>6.4</v>
      </c>
      <c r="D66">
        <f t="shared" si="3"/>
        <v>53.860000000000007</v>
      </c>
      <c r="E66">
        <f t="shared" si="4"/>
        <v>9.0500000000000025</v>
      </c>
      <c r="F66">
        <f t="shared" si="0"/>
        <v>0.5</v>
      </c>
    </row>
    <row r="67" spans="1:6" x14ac:dyDescent="0.25">
      <c r="A67">
        <v>60</v>
      </c>
      <c r="B67">
        <f t="shared" si="1"/>
        <v>0.15</v>
      </c>
      <c r="C67">
        <f t="shared" si="2"/>
        <v>6.4</v>
      </c>
      <c r="D67">
        <f t="shared" si="3"/>
        <v>54.260000000000005</v>
      </c>
      <c r="E67">
        <f t="shared" si="4"/>
        <v>9.4500000000000028</v>
      </c>
      <c r="F67">
        <f t="shared" si="0"/>
        <v>0.25</v>
      </c>
    </row>
  </sheetData>
  <conditionalFormatting sqref="E7:E68">
    <cfRule type="cellIs" dxfId="6" priority="1" operator="lessThan">
      <formula>6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5FF2B-1D92-4290-A847-638F2E8F3A0D}">
  <dimension ref="A2:Q67"/>
  <sheetViews>
    <sheetView workbookViewId="0">
      <selection activeCell="Q11" sqref="Q11"/>
    </sheetView>
  </sheetViews>
  <sheetFormatPr defaultRowHeight="15" x14ac:dyDescent="0.25"/>
  <cols>
    <col min="1" max="1" width="15.28515625" customWidth="1"/>
  </cols>
  <sheetData>
    <row r="2" spans="1:17" x14ac:dyDescent="0.25">
      <c r="A2" t="s">
        <v>3</v>
      </c>
      <c r="B2">
        <v>2.7</v>
      </c>
      <c r="C2" t="s">
        <v>7</v>
      </c>
      <c r="D2">
        <v>0.25</v>
      </c>
      <c r="G2">
        <v>0.1</v>
      </c>
    </row>
    <row r="3" spans="1:17" x14ac:dyDescent="0.25">
      <c r="A3" t="s">
        <v>0</v>
      </c>
      <c r="B3">
        <v>6</v>
      </c>
      <c r="C3" t="s">
        <v>9</v>
      </c>
      <c r="D3">
        <v>78</v>
      </c>
    </row>
    <row r="4" spans="1:17" x14ac:dyDescent="0.25">
      <c r="A4" t="s">
        <v>1</v>
      </c>
      <c r="B4">
        <v>30</v>
      </c>
      <c r="C4" t="s">
        <v>11</v>
      </c>
      <c r="D4">
        <v>18</v>
      </c>
    </row>
    <row r="5" spans="1:17" x14ac:dyDescent="0.25">
      <c r="A5" t="s">
        <v>5</v>
      </c>
      <c r="B5">
        <f>B4-B3</f>
        <v>24</v>
      </c>
      <c r="C5" t="s">
        <v>12</v>
      </c>
      <c r="D5">
        <v>23</v>
      </c>
    </row>
    <row r="6" spans="1:17" x14ac:dyDescent="0.25">
      <c r="A6" t="s">
        <v>2</v>
      </c>
      <c r="B6" t="s">
        <v>4</v>
      </c>
      <c r="C6" t="s">
        <v>6</v>
      </c>
      <c r="D6" t="s">
        <v>8</v>
      </c>
      <c r="F6" t="s">
        <v>10</v>
      </c>
      <c r="G6" t="s">
        <v>13</v>
      </c>
    </row>
    <row r="7" spans="1:17" x14ac:dyDescent="0.25">
      <c r="A7">
        <v>0</v>
      </c>
      <c r="B7">
        <f>ROUND($B$2*POWER(2,-A7/17),2)</f>
        <v>2.7</v>
      </c>
      <c r="C7">
        <f>ROUND($B$3+$B$5*POWER(2,-A7/12),1)</f>
        <v>30</v>
      </c>
      <c r="D7">
        <f>B7+$D$2</f>
        <v>2.95</v>
      </c>
      <c r="E7">
        <f>IF(C7 &gt; $D$3, 0, B7+$D$2)</f>
        <v>2.95</v>
      </c>
      <c r="F7">
        <f t="shared" ref="F7:F67" si="0">IF(C7 &gt; $D$4, 0, F8+B7+$G$2)</f>
        <v>0</v>
      </c>
      <c r="K7" t="s">
        <v>14</v>
      </c>
      <c r="L7" t="s">
        <v>20</v>
      </c>
      <c r="M7" t="s">
        <v>16</v>
      </c>
      <c r="N7" t="s">
        <v>17</v>
      </c>
      <c r="O7" t="s">
        <v>18</v>
      </c>
      <c r="P7" t="s">
        <v>19</v>
      </c>
      <c r="Q7" t="s">
        <v>21</v>
      </c>
    </row>
    <row r="8" spans="1:17" x14ac:dyDescent="0.25">
      <c r="A8">
        <v>1</v>
      </c>
      <c r="B8">
        <f t="shared" ref="B8:B68" si="1">ROUND($B$2*POWER(2,-A8/17),2)</f>
        <v>2.59</v>
      </c>
      <c r="C8">
        <f t="shared" ref="C8:C68" si="2">ROUND($B$3+$B$5*POWER(2,-A8/12),1)</f>
        <v>28.7</v>
      </c>
      <c r="D8">
        <f>D7+B8+$D$2</f>
        <v>5.79</v>
      </c>
      <c r="E8">
        <f>IF(C8 &gt; $D$3, 0, IF(E7+B8+$D$2 &gt; $D$5, B8+$D$2, E7+B8+$D$2))</f>
        <v>5.79</v>
      </c>
      <c r="F8">
        <f t="shared" si="0"/>
        <v>0</v>
      </c>
      <c r="G8">
        <f>C8+C7</f>
        <v>58.7</v>
      </c>
      <c r="K8" t="s">
        <v>45</v>
      </c>
      <c r="L8">
        <v>23</v>
      </c>
      <c r="M8">
        <v>30</v>
      </c>
      <c r="N8">
        <v>21.1</v>
      </c>
      <c r="O8">
        <v>2.7</v>
      </c>
      <c r="P8">
        <v>1.95</v>
      </c>
      <c r="Q8">
        <v>9</v>
      </c>
    </row>
    <row r="9" spans="1:17" x14ac:dyDescent="0.25">
      <c r="A9">
        <v>2</v>
      </c>
      <c r="B9">
        <f t="shared" si="1"/>
        <v>2.4900000000000002</v>
      </c>
      <c r="C9">
        <f t="shared" si="2"/>
        <v>27.4</v>
      </c>
      <c r="D9">
        <f t="shared" ref="D9:D68" si="3">D8+B9+$D$2</f>
        <v>8.5300000000000011</v>
      </c>
      <c r="E9">
        <f t="shared" ref="E9:E68" si="4">IF(C9 &gt; $D$3, 0, IF(E8+B9+$D$2 &gt; $D$5, B9+$D$2, E8+B9+$D$2))</f>
        <v>8.5300000000000011</v>
      </c>
      <c r="F9">
        <f t="shared" si="0"/>
        <v>0</v>
      </c>
      <c r="G9">
        <f t="shared" ref="G9:G44" si="5">C9+C8</f>
        <v>56.099999999999994</v>
      </c>
      <c r="K9" t="s">
        <v>46</v>
      </c>
      <c r="L9">
        <v>26.53</v>
      </c>
      <c r="M9">
        <v>20.3</v>
      </c>
      <c r="N9">
        <v>12</v>
      </c>
      <c r="O9">
        <v>1.87</v>
      </c>
      <c r="P9">
        <v>1.01</v>
      </c>
      <c r="Q9">
        <v>15</v>
      </c>
    </row>
    <row r="10" spans="1:17" x14ac:dyDescent="0.25">
      <c r="A10">
        <v>3</v>
      </c>
      <c r="B10">
        <f t="shared" si="1"/>
        <v>2.39</v>
      </c>
      <c r="C10">
        <f t="shared" si="2"/>
        <v>26.2</v>
      </c>
      <c r="D10">
        <f t="shared" si="3"/>
        <v>11.170000000000002</v>
      </c>
      <c r="E10">
        <f t="shared" si="4"/>
        <v>11.170000000000002</v>
      </c>
      <c r="F10">
        <f t="shared" si="0"/>
        <v>0</v>
      </c>
      <c r="G10">
        <f t="shared" si="5"/>
        <v>53.599999999999994</v>
      </c>
      <c r="K10" t="s">
        <v>52</v>
      </c>
      <c r="L10">
        <v>23.47</v>
      </c>
      <c r="M10">
        <v>12</v>
      </c>
      <c r="N10">
        <v>6.8</v>
      </c>
      <c r="O10">
        <v>1.01</v>
      </c>
      <c r="P10">
        <v>0.23</v>
      </c>
      <c r="Q10">
        <v>37</v>
      </c>
    </row>
    <row r="11" spans="1:17" x14ac:dyDescent="0.25">
      <c r="A11">
        <v>4</v>
      </c>
      <c r="B11">
        <f t="shared" si="1"/>
        <v>2.29</v>
      </c>
      <c r="C11">
        <f t="shared" si="2"/>
        <v>25</v>
      </c>
      <c r="D11">
        <f t="shared" si="3"/>
        <v>13.71</v>
      </c>
      <c r="E11">
        <f t="shared" si="4"/>
        <v>13.71</v>
      </c>
      <c r="F11">
        <f t="shared" si="0"/>
        <v>0</v>
      </c>
      <c r="G11">
        <f t="shared" si="5"/>
        <v>51.2</v>
      </c>
    </row>
    <row r="12" spans="1:17" x14ac:dyDescent="0.25">
      <c r="A12">
        <v>5</v>
      </c>
      <c r="B12">
        <f t="shared" si="1"/>
        <v>2.2000000000000002</v>
      </c>
      <c r="C12">
        <f t="shared" si="2"/>
        <v>24</v>
      </c>
      <c r="D12">
        <f t="shared" si="3"/>
        <v>16.16</v>
      </c>
      <c r="E12">
        <f t="shared" si="4"/>
        <v>16.16</v>
      </c>
      <c r="F12">
        <f t="shared" si="0"/>
        <v>0</v>
      </c>
      <c r="G12">
        <f t="shared" si="5"/>
        <v>49</v>
      </c>
      <c r="K12" t="s">
        <v>23</v>
      </c>
      <c r="L12">
        <f>SUM(L8:L11)</f>
        <v>73</v>
      </c>
      <c r="Q12">
        <f>SUM(Q8:Q11)</f>
        <v>61</v>
      </c>
    </row>
    <row r="13" spans="1:17" x14ac:dyDescent="0.25">
      <c r="A13">
        <v>6</v>
      </c>
      <c r="B13">
        <f t="shared" si="1"/>
        <v>2.11</v>
      </c>
      <c r="C13">
        <f t="shared" si="2"/>
        <v>23</v>
      </c>
      <c r="D13">
        <f t="shared" si="3"/>
        <v>18.52</v>
      </c>
      <c r="E13">
        <f t="shared" si="4"/>
        <v>18.52</v>
      </c>
      <c r="F13">
        <f t="shared" si="0"/>
        <v>0</v>
      </c>
      <c r="G13">
        <f t="shared" si="5"/>
        <v>47</v>
      </c>
    </row>
    <row r="14" spans="1:17" x14ac:dyDescent="0.25">
      <c r="A14">
        <v>7</v>
      </c>
      <c r="B14">
        <f t="shared" si="1"/>
        <v>2.0299999999999998</v>
      </c>
      <c r="C14">
        <f t="shared" si="2"/>
        <v>22</v>
      </c>
      <c r="D14">
        <f t="shared" si="3"/>
        <v>20.8</v>
      </c>
      <c r="E14">
        <f t="shared" si="4"/>
        <v>20.8</v>
      </c>
      <c r="F14">
        <f t="shared" si="0"/>
        <v>0</v>
      </c>
      <c r="G14">
        <f t="shared" si="5"/>
        <v>45</v>
      </c>
    </row>
    <row r="15" spans="1:17" x14ac:dyDescent="0.25">
      <c r="A15">
        <v>8</v>
      </c>
      <c r="B15">
        <f t="shared" si="1"/>
        <v>1.95</v>
      </c>
      <c r="C15">
        <f t="shared" si="2"/>
        <v>21.1</v>
      </c>
      <c r="D15">
        <f t="shared" si="3"/>
        <v>23</v>
      </c>
      <c r="E15">
        <f t="shared" si="4"/>
        <v>23</v>
      </c>
      <c r="F15">
        <f t="shared" si="0"/>
        <v>0</v>
      </c>
      <c r="G15">
        <f t="shared" si="5"/>
        <v>43.1</v>
      </c>
    </row>
    <row r="16" spans="1:17" x14ac:dyDescent="0.25">
      <c r="A16">
        <v>9</v>
      </c>
      <c r="B16">
        <f t="shared" si="1"/>
        <v>1.87</v>
      </c>
      <c r="C16">
        <f t="shared" si="2"/>
        <v>20.3</v>
      </c>
      <c r="D16">
        <f t="shared" si="3"/>
        <v>25.12</v>
      </c>
      <c r="E16">
        <f t="shared" si="4"/>
        <v>2.12</v>
      </c>
      <c r="F16">
        <f t="shared" si="0"/>
        <v>0</v>
      </c>
      <c r="G16">
        <f t="shared" si="5"/>
        <v>41.400000000000006</v>
      </c>
    </row>
    <row r="17" spans="1:9" x14ac:dyDescent="0.25">
      <c r="A17">
        <v>10</v>
      </c>
      <c r="B17">
        <f t="shared" si="1"/>
        <v>1.8</v>
      </c>
      <c r="C17">
        <f t="shared" si="2"/>
        <v>19.5</v>
      </c>
      <c r="D17">
        <f t="shared" si="3"/>
        <v>27.17</v>
      </c>
      <c r="E17">
        <f t="shared" si="4"/>
        <v>4.17</v>
      </c>
      <c r="F17">
        <f t="shared" si="0"/>
        <v>0</v>
      </c>
      <c r="G17">
        <f t="shared" si="5"/>
        <v>39.799999999999997</v>
      </c>
    </row>
    <row r="18" spans="1:9" x14ac:dyDescent="0.25">
      <c r="A18">
        <v>11</v>
      </c>
      <c r="B18">
        <f t="shared" si="1"/>
        <v>1.72</v>
      </c>
      <c r="C18">
        <f t="shared" si="2"/>
        <v>18.7</v>
      </c>
      <c r="D18">
        <f t="shared" si="3"/>
        <v>29.14</v>
      </c>
      <c r="E18">
        <f t="shared" si="4"/>
        <v>6.14</v>
      </c>
      <c r="F18">
        <f t="shared" si="0"/>
        <v>0</v>
      </c>
      <c r="G18">
        <f t="shared" si="5"/>
        <v>38.200000000000003</v>
      </c>
    </row>
    <row r="19" spans="1:9" x14ac:dyDescent="0.25">
      <c r="A19">
        <v>12</v>
      </c>
      <c r="B19">
        <f t="shared" si="1"/>
        <v>1.66</v>
      </c>
      <c r="C19">
        <f t="shared" si="2"/>
        <v>18</v>
      </c>
      <c r="D19">
        <f t="shared" si="3"/>
        <v>31.05</v>
      </c>
      <c r="E19">
        <f t="shared" si="4"/>
        <v>8.0500000000000007</v>
      </c>
      <c r="F19">
        <f t="shared" si="0"/>
        <v>40.710000000000015</v>
      </c>
      <c r="G19">
        <f t="shared" si="5"/>
        <v>36.700000000000003</v>
      </c>
    </row>
    <row r="20" spans="1:9" x14ac:dyDescent="0.25">
      <c r="A20">
        <v>13</v>
      </c>
      <c r="B20">
        <f t="shared" si="1"/>
        <v>1.59</v>
      </c>
      <c r="C20">
        <f t="shared" si="2"/>
        <v>17.3</v>
      </c>
      <c r="D20">
        <f t="shared" si="3"/>
        <v>32.89</v>
      </c>
      <c r="E20">
        <f t="shared" si="4"/>
        <v>9.89</v>
      </c>
      <c r="F20">
        <f t="shared" si="0"/>
        <v>38.950000000000017</v>
      </c>
      <c r="G20">
        <f t="shared" si="5"/>
        <v>35.299999999999997</v>
      </c>
    </row>
    <row r="21" spans="1:9" x14ac:dyDescent="0.25">
      <c r="A21">
        <v>14</v>
      </c>
      <c r="B21">
        <f t="shared" si="1"/>
        <v>1.53</v>
      </c>
      <c r="C21">
        <f t="shared" si="2"/>
        <v>16.7</v>
      </c>
      <c r="D21">
        <f t="shared" si="3"/>
        <v>34.67</v>
      </c>
      <c r="E21">
        <f t="shared" si="4"/>
        <v>11.67</v>
      </c>
      <c r="F21">
        <f t="shared" si="0"/>
        <v>37.260000000000012</v>
      </c>
      <c r="G21">
        <f t="shared" si="5"/>
        <v>34</v>
      </c>
    </row>
    <row r="22" spans="1:9" x14ac:dyDescent="0.25">
      <c r="A22">
        <v>15</v>
      </c>
      <c r="B22">
        <f t="shared" si="1"/>
        <v>1.46</v>
      </c>
      <c r="C22">
        <f t="shared" si="2"/>
        <v>16.100000000000001</v>
      </c>
      <c r="D22">
        <f t="shared" si="3"/>
        <v>36.380000000000003</v>
      </c>
      <c r="E22">
        <f t="shared" si="4"/>
        <v>13.379999999999999</v>
      </c>
      <c r="F22">
        <f t="shared" si="0"/>
        <v>35.63000000000001</v>
      </c>
      <c r="G22">
        <f t="shared" si="5"/>
        <v>32.799999999999997</v>
      </c>
    </row>
    <row r="23" spans="1:9" x14ac:dyDescent="0.25">
      <c r="A23">
        <v>16</v>
      </c>
      <c r="B23">
        <f t="shared" si="1"/>
        <v>1.41</v>
      </c>
      <c r="C23">
        <f t="shared" si="2"/>
        <v>15.5</v>
      </c>
      <c r="D23">
        <f t="shared" si="3"/>
        <v>38.04</v>
      </c>
      <c r="E23">
        <f t="shared" si="4"/>
        <v>15.04</v>
      </c>
      <c r="F23">
        <f t="shared" si="0"/>
        <v>34.070000000000007</v>
      </c>
      <c r="G23">
        <f t="shared" si="5"/>
        <v>31.6</v>
      </c>
    </row>
    <row r="24" spans="1:9" x14ac:dyDescent="0.25">
      <c r="A24">
        <v>17</v>
      </c>
      <c r="B24">
        <f t="shared" si="1"/>
        <v>1.35</v>
      </c>
      <c r="C24">
        <f t="shared" si="2"/>
        <v>15</v>
      </c>
      <c r="D24">
        <f t="shared" si="3"/>
        <v>39.64</v>
      </c>
      <c r="E24">
        <f t="shared" si="4"/>
        <v>16.64</v>
      </c>
      <c r="F24">
        <f t="shared" si="0"/>
        <v>32.560000000000009</v>
      </c>
      <c r="G24">
        <f t="shared" si="5"/>
        <v>30.5</v>
      </c>
    </row>
    <row r="25" spans="1:9" x14ac:dyDescent="0.25">
      <c r="A25">
        <v>18</v>
      </c>
      <c r="B25">
        <f t="shared" si="1"/>
        <v>1.3</v>
      </c>
      <c r="C25">
        <f t="shared" si="2"/>
        <v>14.5</v>
      </c>
      <c r="D25">
        <f t="shared" si="3"/>
        <v>41.19</v>
      </c>
      <c r="E25">
        <f t="shared" si="4"/>
        <v>18.190000000000001</v>
      </c>
      <c r="F25">
        <f t="shared" si="0"/>
        <v>31.11000000000001</v>
      </c>
      <c r="G25">
        <f t="shared" si="5"/>
        <v>29.5</v>
      </c>
    </row>
    <row r="26" spans="1:9" x14ac:dyDescent="0.25">
      <c r="A26">
        <v>19</v>
      </c>
      <c r="B26">
        <f t="shared" si="1"/>
        <v>1.24</v>
      </c>
      <c r="C26">
        <f t="shared" si="2"/>
        <v>14</v>
      </c>
      <c r="D26">
        <f t="shared" si="3"/>
        <v>42.68</v>
      </c>
      <c r="E26">
        <f t="shared" si="4"/>
        <v>19.68</v>
      </c>
      <c r="F26">
        <f t="shared" si="0"/>
        <v>29.710000000000008</v>
      </c>
      <c r="G26">
        <f t="shared" si="5"/>
        <v>28.5</v>
      </c>
    </row>
    <row r="27" spans="1:9" x14ac:dyDescent="0.25">
      <c r="A27">
        <v>20</v>
      </c>
      <c r="B27">
        <f t="shared" si="1"/>
        <v>1.19</v>
      </c>
      <c r="C27">
        <f t="shared" si="2"/>
        <v>13.6</v>
      </c>
      <c r="D27">
        <f t="shared" si="3"/>
        <v>44.12</v>
      </c>
      <c r="E27">
        <f t="shared" si="4"/>
        <v>21.12</v>
      </c>
      <c r="F27">
        <f t="shared" si="0"/>
        <v>28.370000000000008</v>
      </c>
      <c r="G27">
        <f t="shared" si="5"/>
        <v>27.6</v>
      </c>
    </row>
    <row r="28" spans="1:9" x14ac:dyDescent="0.25">
      <c r="A28">
        <v>21</v>
      </c>
      <c r="B28">
        <f t="shared" si="1"/>
        <v>1.1499999999999999</v>
      </c>
      <c r="C28">
        <f t="shared" si="2"/>
        <v>13.1</v>
      </c>
      <c r="D28">
        <f t="shared" si="3"/>
        <v>45.519999999999996</v>
      </c>
      <c r="E28">
        <f t="shared" si="4"/>
        <v>22.52</v>
      </c>
      <c r="F28">
        <f t="shared" si="0"/>
        <v>27.080000000000005</v>
      </c>
      <c r="G28">
        <f t="shared" si="5"/>
        <v>26.7</v>
      </c>
    </row>
    <row r="29" spans="1:9" x14ac:dyDescent="0.25">
      <c r="A29">
        <v>22</v>
      </c>
      <c r="B29">
        <f t="shared" si="1"/>
        <v>1.1000000000000001</v>
      </c>
      <c r="C29">
        <f t="shared" si="2"/>
        <v>12.7</v>
      </c>
      <c r="D29">
        <f t="shared" si="3"/>
        <v>46.87</v>
      </c>
      <c r="E29">
        <f t="shared" si="4"/>
        <v>1.35</v>
      </c>
      <c r="F29">
        <f t="shared" si="0"/>
        <v>25.830000000000005</v>
      </c>
      <c r="G29">
        <f t="shared" si="5"/>
        <v>25.799999999999997</v>
      </c>
    </row>
    <row r="30" spans="1:9" x14ac:dyDescent="0.25">
      <c r="A30">
        <v>23</v>
      </c>
      <c r="B30">
        <f t="shared" si="1"/>
        <v>1.06</v>
      </c>
      <c r="C30">
        <f t="shared" si="2"/>
        <v>12.4</v>
      </c>
      <c r="D30">
        <f t="shared" si="3"/>
        <v>48.18</v>
      </c>
      <c r="E30">
        <f t="shared" si="4"/>
        <v>2.66</v>
      </c>
      <c r="F30">
        <f t="shared" si="0"/>
        <v>24.630000000000003</v>
      </c>
      <c r="G30">
        <f t="shared" si="5"/>
        <v>25.1</v>
      </c>
    </row>
    <row r="31" spans="1:9" x14ac:dyDescent="0.25">
      <c r="A31">
        <v>24</v>
      </c>
      <c r="B31">
        <f t="shared" si="1"/>
        <v>1.01</v>
      </c>
      <c r="C31">
        <f t="shared" si="2"/>
        <v>12</v>
      </c>
      <c r="D31">
        <f t="shared" si="3"/>
        <v>49.44</v>
      </c>
      <c r="E31">
        <f t="shared" si="4"/>
        <v>3.92</v>
      </c>
      <c r="F31">
        <f t="shared" si="0"/>
        <v>23.470000000000002</v>
      </c>
      <c r="G31">
        <f t="shared" si="5"/>
        <v>24.4</v>
      </c>
      <c r="H31" t="s">
        <v>50</v>
      </c>
      <c r="I31" t="s">
        <v>51</v>
      </c>
    </row>
    <row r="32" spans="1:9" x14ac:dyDescent="0.25">
      <c r="A32">
        <v>25</v>
      </c>
      <c r="B32">
        <f t="shared" si="1"/>
        <v>0.97</v>
      </c>
      <c r="C32">
        <f t="shared" si="2"/>
        <v>11.7</v>
      </c>
      <c r="D32">
        <f t="shared" si="3"/>
        <v>50.66</v>
      </c>
      <c r="E32">
        <f t="shared" si="4"/>
        <v>5.14</v>
      </c>
      <c r="F32">
        <f t="shared" si="0"/>
        <v>22.36</v>
      </c>
      <c r="G32">
        <f t="shared" si="5"/>
        <v>23.7</v>
      </c>
    </row>
    <row r="33" spans="1:7" x14ac:dyDescent="0.25">
      <c r="A33">
        <v>26</v>
      </c>
      <c r="B33">
        <f t="shared" si="1"/>
        <v>0.94</v>
      </c>
      <c r="C33">
        <f t="shared" si="2"/>
        <v>11.3</v>
      </c>
      <c r="D33">
        <f t="shared" si="3"/>
        <v>51.849999999999994</v>
      </c>
      <c r="E33">
        <f t="shared" si="4"/>
        <v>6.33</v>
      </c>
      <c r="F33">
        <f t="shared" si="0"/>
        <v>21.29</v>
      </c>
      <c r="G33">
        <f t="shared" si="5"/>
        <v>23</v>
      </c>
    </row>
    <row r="34" spans="1:7" x14ac:dyDescent="0.25">
      <c r="A34">
        <v>27</v>
      </c>
      <c r="B34">
        <f t="shared" si="1"/>
        <v>0.9</v>
      </c>
      <c r="C34">
        <f t="shared" si="2"/>
        <v>11</v>
      </c>
      <c r="D34">
        <f t="shared" si="3"/>
        <v>52.999999999999993</v>
      </c>
      <c r="E34">
        <f t="shared" si="4"/>
        <v>7.48</v>
      </c>
      <c r="F34">
        <f t="shared" si="0"/>
        <v>20.249999999999996</v>
      </c>
      <c r="G34">
        <f t="shared" si="5"/>
        <v>22.3</v>
      </c>
    </row>
    <row r="35" spans="1:7" x14ac:dyDescent="0.25">
      <c r="A35">
        <v>28</v>
      </c>
      <c r="B35">
        <f t="shared" si="1"/>
        <v>0.86</v>
      </c>
      <c r="C35">
        <f t="shared" si="2"/>
        <v>10.8</v>
      </c>
      <c r="D35">
        <f t="shared" si="3"/>
        <v>54.109999999999992</v>
      </c>
      <c r="E35">
        <f t="shared" si="4"/>
        <v>8.59</v>
      </c>
      <c r="F35">
        <f t="shared" si="0"/>
        <v>19.249999999999996</v>
      </c>
      <c r="G35">
        <f t="shared" si="5"/>
        <v>21.8</v>
      </c>
    </row>
    <row r="36" spans="1:7" x14ac:dyDescent="0.25">
      <c r="A36">
        <v>29</v>
      </c>
      <c r="B36">
        <f t="shared" si="1"/>
        <v>0.83</v>
      </c>
      <c r="C36">
        <f t="shared" si="2"/>
        <v>10.5</v>
      </c>
      <c r="D36">
        <f t="shared" si="3"/>
        <v>55.189999999999991</v>
      </c>
      <c r="E36">
        <f t="shared" si="4"/>
        <v>9.67</v>
      </c>
      <c r="F36">
        <f t="shared" si="0"/>
        <v>18.289999999999996</v>
      </c>
      <c r="G36">
        <f t="shared" si="5"/>
        <v>21.3</v>
      </c>
    </row>
    <row r="37" spans="1:7" x14ac:dyDescent="0.25">
      <c r="A37">
        <v>30</v>
      </c>
      <c r="B37">
        <f t="shared" si="1"/>
        <v>0.79</v>
      </c>
      <c r="C37">
        <f t="shared" si="2"/>
        <v>10.199999999999999</v>
      </c>
      <c r="D37">
        <f t="shared" si="3"/>
        <v>56.22999999999999</v>
      </c>
      <c r="E37">
        <f t="shared" si="4"/>
        <v>10.71</v>
      </c>
      <c r="F37">
        <f t="shared" si="0"/>
        <v>17.359999999999996</v>
      </c>
      <c r="G37">
        <f t="shared" si="5"/>
        <v>20.7</v>
      </c>
    </row>
    <row r="38" spans="1:7" x14ac:dyDescent="0.25">
      <c r="A38">
        <v>31</v>
      </c>
      <c r="B38">
        <f t="shared" si="1"/>
        <v>0.76</v>
      </c>
      <c r="C38">
        <f t="shared" si="2"/>
        <v>10</v>
      </c>
      <c r="D38">
        <f t="shared" si="3"/>
        <v>57.239999999999988</v>
      </c>
      <c r="E38">
        <f t="shared" si="4"/>
        <v>11.72</v>
      </c>
      <c r="F38">
        <f t="shared" si="0"/>
        <v>16.469999999999995</v>
      </c>
      <c r="G38">
        <f t="shared" si="5"/>
        <v>20.2</v>
      </c>
    </row>
    <row r="39" spans="1:7" x14ac:dyDescent="0.25">
      <c r="A39">
        <v>32</v>
      </c>
      <c r="B39">
        <f t="shared" si="1"/>
        <v>0.73</v>
      </c>
      <c r="C39">
        <f t="shared" si="2"/>
        <v>9.8000000000000007</v>
      </c>
      <c r="D39">
        <f t="shared" si="3"/>
        <v>58.219999999999985</v>
      </c>
      <c r="E39">
        <f t="shared" si="4"/>
        <v>12.700000000000001</v>
      </c>
      <c r="F39">
        <f t="shared" si="0"/>
        <v>15.609999999999992</v>
      </c>
      <c r="G39">
        <f t="shared" si="5"/>
        <v>19.8</v>
      </c>
    </row>
    <row r="40" spans="1:7" x14ac:dyDescent="0.25">
      <c r="A40">
        <v>33</v>
      </c>
      <c r="B40">
        <f t="shared" si="1"/>
        <v>0.7</v>
      </c>
      <c r="C40">
        <f t="shared" si="2"/>
        <v>9.6</v>
      </c>
      <c r="D40">
        <f t="shared" si="3"/>
        <v>59.169999999999987</v>
      </c>
      <c r="E40">
        <f t="shared" si="4"/>
        <v>13.65</v>
      </c>
      <c r="F40">
        <f t="shared" si="0"/>
        <v>14.779999999999992</v>
      </c>
      <c r="G40">
        <f t="shared" si="5"/>
        <v>19.399999999999999</v>
      </c>
    </row>
    <row r="41" spans="1:7" x14ac:dyDescent="0.25">
      <c r="A41">
        <v>34</v>
      </c>
      <c r="B41">
        <f t="shared" si="1"/>
        <v>0.68</v>
      </c>
      <c r="C41">
        <f t="shared" si="2"/>
        <v>9.4</v>
      </c>
      <c r="D41">
        <f t="shared" si="3"/>
        <v>60.099999999999987</v>
      </c>
      <c r="E41">
        <f t="shared" si="4"/>
        <v>14.58</v>
      </c>
      <c r="F41">
        <f t="shared" si="0"/>
        <v>13.979999999999993</v>
      </c>
      <c r="G41">
        <f t="shared" si="5"/>
        <v>19</v>
      </c>
    </row>
    <row r="42" spans="1:7" x14ac:dyDescent="0.25">
      <c r="A42">
        <v>35</v>
      </c>
      <c r="B42">
        <f t="shared" si="1"/>
        <v>0.65</v>
      </c>
      <c r="C42">
        <f t="shared" si="2"/>
        <v>9.1999999999999993</v>
      </c>
      <c r="D42">
        <f t="shared" si="3"/>
        <v>60.999999999999986</v>
      </c>
      <c r="E42">
        <f t="shared" si="4"/>
        <v>15.48</v>
      </c>
      <c r="F42">
        <f t="shared" si="0"/>
        <v>13.199999999999994</v>
      </c>
      <c r="G42">
        <f t="shared" si="5"/>
        <v>18.600000000000001</v>
      </c>
    </row>
    <row r="43" spans="1:7" x14ac:dyDescent="0.25">
      <c r="A43">
        <v>36</v>
      </c>
      <c r="B43">
        <f t="shared" si="1"/>
        <v>0.62</v>
      </c>
      <c r="C43">
        <f t="shared" si="2"/>
        <v>9</v>
      </c>
      <c r="D43">
        <f t="shared" si="3"/>
        <v>61.869999999999983</v>
      </c>
      <c r="E43">
        <f t="shared" si="4"/>
        <v>16.350000000000001</v>
      </c>
      <c r="F43">
        <f t="shared" si="0"/>
        <v>12.449999999999994</v>
      </c>
      <c r="G43">
        <f t="shared" si="5"/>
        <v>18.2</v>
      </c>
    </row>
    <row r="44" spans="1:7" x14ac:dyDescent="0.25">
      <c r="A44">
        <v>37</v>
      </c>
      <c r="B44">
        <f t="shared" si="1"/>
        <v>0.6</v>
      </c>
      <c r="C44">
        <f t="shared" si="2"/>
        <v>8.8000000000000007</v>
      </c>
      <c r="D44">
        <f t="shared" si="3"/>
        <v>62.719999999999985</v>
      </c>
      <c r="E44">
        <f t="shared" si="4"/>
        <v>17.200000000000003</v>
      </c>
      <c r="F44">
        <f t="shared" si="0"/>
        <v>11.729999999999995</v>
      </c>
      <c r="G44">
        <f t="shared" si="5"/>
        <v>17.8</v>
      </c>
    </row>
    <row r="45" spans="1:7" x14ac:dyDescent="0.25">
      <c r="A45">
        <v>38</v>
      </c>
      <c r="B45">
        <f t="shared" si="1"/>
        <v>0.56999999999999995</v>
      </c>
      <c r="C45">
        <f t="shared" si="2"/>
        <v>8.6999999999999993</v>
      </c>
      <c r="D45">
        <f t="shared" si="3"/>
        <v>63.539999999999985</v>
      </c>
      <c r="E45">
        <f t="shared" si="4"/>
        <v>18.020000000000003</v>
      </c>
      <c r="F45">
        <f t="shared" si="0"/>
        <v>11.029999999999996</v>
      </c>
    </row>
    <row r="46" spans="1:7" x14ac:dyDescent="0.25">
      <c r="A46">
        <v>39</v>
      </c>
      <c r="B46">
        <f t="shared" si="1"/>
        <v>0.55000000000000004</v>
      </c>
      <c r="C46">
        <f t="shared" si="2"/>
        <v>8.5</v>
      </c>
      <c r="D46">
        <f t="shared" si="3"/>
        <v>64.339999999999989</v>
      </c>
      <c r="E46">
        <f t="shared" si="4"/>
        <v>18.820000000000004</v>
      </c>
      <c r="F46">
        <f t="shared" si="0"/>
        <v>10.359999999999996</v>
      </c>
    </row>
    <row r="47" spans="1:7" x14ac:dyDescent="0.25">
      <c r="A47">
        <v>40</v>
      </c>
      <c r="B47">
        <f t="shared" si="1"/>
        <v>0.53</v>
      </c>
      <c r="C47">
        <f t="shared" si="2"/>
        <v>8.4</v>
      </c>
      <c r="D47">
        <f t="shared" si="3"/>
        <v>65.11999999999999</v>
      </c>
      <c r="E47">
        <f t="shared" si="4"/>
        <v>19.600000000000005</v>
      </c>
      <c r="F47">
        <f t="shared" si="0"/>
        <v>9.7099999999999955</v>
      </c>
    </row>
    <row r="48" spans="1:7" x14ac:dyDescent="0.25">
      <c r="A48">
        <v>41</v>
      </c>
      <c r="B48">
        <f t="shared" si="1"/>
        <v>0.51</v>
      </c>
      <c r="C48">
        <f t="shared" si="2"/>
        <v>8.1999999999999993</v>
      </c>
      <c r="D48">
        <f t="shared" si="3"/>
        <v>65.88</v>
      </c>
      <c r="E48">
        <f t="shared" si="4"/>
        <v>20.360000000000007</v>
      </c>
      <c r="F48">
        <f t="shared" si="0"/>
        <v>9.0799999999999965</v>
      </c>
    </row>
    <row r="49" spans="1:6" x14ac:dyDescent="0.25">
      <c r="A49">
        <v>42</v>
      </c>
      <c r="B49">
        <f t="shared" si="1"/>
        <v>0.49</v>
      </c>
      <c r="C49">
        <f t="shared" si="2"/>
        <v>8.1</v>
      </c>
      <c r="D49">
        <f t="shared" si="3"/>
        <v>66.61999999999999</v>
      </c>
      <c r="E49">
        <f t="shared" si="4"/>
        <v>21.100000000000005</v>
      </c>
      <c r="F49">
        <f t="shared" si="0"/>
        <v>8.4699999999999971</v>
      </c>
    </row>
    <row r="50" spans="1:6" x14ac:dyDescent="0.25">
      <c r="A50">
        <v>43</v>
      </c>
      <c r="B50">
        <f t="shared" si="1"/>
        <v>0.47</v>
      </c>
      <c r="C50">
        <f t="shared" si="2"/>
        <v>8</v>
      </c>
      <c r="D50">
        <f t="shared" si="3"/>
        <v>67.339999999999989</v>
      </c>
      <c r="E50">
        <f t="shared" si="4"/>
        <v>21.820000000000004</v>
      </c>
      <c r="F50">
        <f t="shared" si="0"/>
        <v>7.8799999999999972</v>
      </c>
    </row>
    <row r="51" spans="1:6" x14ac:dyDescent="0.25">
      <c r="A51">
        <v>44</v>
      </c>
      <c r="B51">
        <f t="shared" si="1"/>
        <v>0.45</v>
      </c>
      <c r="C51">
        <f t="shared" si="2"/>
        <v>7.9</v>
      </c>
      <c r="D51">
        <f t="shared" si="3"/>
        <v>68.039999999999992</v>
      </c>
      <c r="E51">
        <f t="shared" si="4"/>
        <v>22.520000000000003</v>
      </c>
      <c r="F51">
        <f t="shared" si="0"/>
        <v>7.3099999999999978</v>
      </c>
    </row>
    <row r="52" spans="1:6" x14ac:dyDescent="0.25">
      <c r="A52">
        <v>45</v>
      </c>
      <c r="B52">
        <f t="shared" si="1"/>
        <v>0.43</v>
      </c>
      <c r="C52">
        <f t="shared" si="2"/>
        <v>7.8</v>
      </c>
      <c r="D52">
        <f t="shared" si="3"/>
        <v>68.72</v>
      </c>
      <c r="E52">
        <f t="shared" si="4"/>
        <v>0.67999999999999994</v>
      </c>
      <c r="F52">
        <f t="shared" si="0"/>
        <v>6.759999999999998</v>
      </c>
    </row>
    <row r="53" spans="1:6" x14ac:dyDescent="0.25">
      <c r="A53">
        <v>46</v>
      </c>
      <c r="B53">
        <f t="shared" si="1"/>
        <v>0.41</v>
      </c>
      <c r="C53">
        <f t="shared" si="2"/>
        <v>7.7</v>
      </c>
      <c r="D53">
        <f t="shared" si="3"/>
        <v>69.38</v>
      </c>
      <c r="E53">
        <f t="shared" si="4"/>
        <v>1.3399999999999999</v>
      </c>
      <c r="F53">
        <f t="shared" si="0"/>
        <v>6.2299999999999986</v>
      </c>
    </row>
    <row r="54" spans="1:6" x14ac:dyDescent="0.25">
      <c r="A54">
        <v>47</v>
      </c>
      <c r="B54">
        <f t="shared" si="1"/>
        <v>0.4</v>
      </c>
      <c r="C54">
        <f t="shared" si="2"/>
        <v>7.6</v>
      </c>
      <c r="D54">
        <f t="shared" si="3"/>
        <v>70.03</v>
      </c>
      <c r="E54">
        <f t="shared" si="4"/>
        <v>1.9899999999999998</v>
      </c>
      <c r="F54">
        <f t="shared" si="0"/>
        <v>5.7199999999999989</v>
      </c>
    </row>
    <row r="55" spans="1:6" x14ac:dyDescent="0.25">
      <c r="A55">
        <v>48</v>
      </c>
      <c r="B55">
        <f t="shared" si="1"/>
        <v>0.38</v>
      </c>
      <c r="C55">
        <f t="shared" si="2"/>
        <v>7.5</v>
      </c>
      <c r="D55">
        <f t="shared" si="3"/>
        <v>70.66</v>
      </c>
      <c r="E55">
        <f t="shared" si="4"/>
        <v>2.6199999999999997</v>
      </c>
      <c r="F55">
        <f t="shared" si="0"/>
        <v>5.2199999999999989</v>
      </c>
    </row>
    <row r="56" spans="1:6" x14ac:dyDescent="0.25">
      <c r="A56">
        <v>49</v>
      </c>
      <c r="B56">
        <f t="shared" si="1"/>
        <v>0.37</v>
      </c>
      <c r="C56">
        <f t="shared" si="2"/>
        <v>7.4</v>
      </c>
      <c r="D56">
        <f t="shared" si="3"/>
        <v>71.28</v>
      </c>
      <c r="E56">
        <f t="shared" si="4"/>
        <v>3.2399999999999998</v>
      </c>
      <c r="F56">
        <f t="shared" si="0"/>
        <v>4.7399999999999993</v>
      </c>
    </row>
    <row r="57" spans="1:6" x14ac:dyDescent="0.25">
      <c r="A57">
        <v>50</v>
      </c>
      <c r="B57">
        <f t="shared" si="1"/>
        <v>0.35</v>
      </c>
      <c r="C57">
        <f t="shared" si="2"/>
        <v>7.3</v>
      </c>
      <c r="D57">
        <f t="shared" si="3"/>
        <v>71.88</v>
      </c>
      <c r="E57">
        <f t="shared" si="4"/>
        <v>3.84</v>
      </c>
      <c r="F57">
        <f t="shared" si="0"/>
        <v>4.2699999999999996</v>
      </c>
    </row>
    <row r="58" spans="1:6" x14ac:dyDescent="0.25">
      <c r="A58">
        <v>51</v>
      </c>
      <c r="B58">
        <f t="shared" si="1"/>
        <v>0.34</v>
      </c>
      <c r="C58">
        <f t="shared" si="2"/>
        <v>7.3</v>
      </c>
      <c r="D58">
        <f t="shared" si="3"/>
        <v>72.47</v>
      </c>
      <c r="E58">
        <f t="shared" si="4"/>
        <v>4.43</v>
      </c>
      <c r="F58">
        <f t="shared" si="0"/>
        <v>3.8200000000000003</v>
      </c>
    </row>
    <row r="59" spans="1:6" x14ac:dyDescent="0.25">
      <c r="A59">
        <v>52</v>
      </c>
      <c r="B59">
        <f t="shared" si="1"/>
        <v>0.32</v>
      </c>
      <c r="C59">
        <f t="shared" si="2"/>
        <v>7.2</v>
      </c>
      <c r="D59">
        <f t="shared" si="3"/>
        <v>73.039999999999992</v>
      </c>
      <c r="E59">
        <f t="shared" si="4"/>
        <v>5</v>
      </c>
      <c r="F59">
        <f t="shared" si="0"/>
        <v>3.3800000000000003</v>
      </c>
    </row>
    <row r="60" spans="1:6" x14ac:dyDescent="0.25">
      <c r="A60">
        <v>53</v>
      </c>
      <c r="B60">
        <f t="shared" si="1"/>
        <v>0.31</v>
      </c>
      <c r="C60">
        <f t="shared" si="2"/>
        <v>7.1</v>
      </c>
      <c r="D60">
        <f t="shared" si="3"/>
        <v>73.599999999999994</v>
      </c>
      <c r="E60">
        <f t="shared" si="4"/>
        <v>5.56</v>
      </c>
      <c r="F60">
        <f t="shared" si="0"/>
        <v>2.9600000000000004</v>
      </c>
    </row>
    <row r="61" spans="1:6" x14ac:dyDescent="0.25">
      <c r="A61">
        <v>54</v>
      </c>
      <c r="B61">
        <f t="shared" si="1"/>
        <v>0.3</v>
      </c>
      <c r="C61">
        <f t="shared" si="2"/>
        <v>7.1</v>
      </c>
      <c r="D61">
        <f t="shared" si="3"/>
        <v>74.149999999999991</v>
      </c>
      <c r="E61">
        <f t="shared" si="4"/>
        <v>6.1099999999999994</v>
      </c>
      <c r="F61">
        <f t="shared" si="0"/>
        <v>2.5500000000000003</v>
      </c>
    </row>
    <row r="62" spans="1:6" x14ac:dyDescent="0.25">
      <c r="A62">
        <v>55</v>
      </c>
      <c r="B62">
        <f t="shared" si="1"/>
        <v>0.28999999999999998</v>
      </c>
      <c r="C62">
        <f t="shared" si="2"/>
        <v>7</v>
      </c>
      <c r="D62">
        <f t="shared" si="3"/>
        <v>74.69</v>
      </c>
      <c r="E62">
        <f t="shared" si="4"/>
        <v>6.6499999999999995</v>
      </c>
      <c r="F62">
        <f t="shared" si="0"/>
        <v>2.1500000000000004</v>
      </c>
    </row>
    <row r="63" spans="1:6" x14ac:dyDescent="0.25">
      <c r="A63">
        <v>56</v>
      </c>
      <c r="B63">
        <f t="shared" si="1"/>
        <v>0.28000000000000003</v>
      </c>
      <c r="C63">
        <f t="shared" si="2"/>
        <v>6.9</v>
      </c>
      <c r="D63">
        <f t="shared" si="3"/>
        <v>75.22</v>
      </c>
      <c r="E63">
        <f t="shared" si="4"/>
        <v>7.18</v>
      </c>
      <c r="F63">
        <f t="shared" si="0"/>
        <v>1.7600000000000002</v>
      </c>
    </row>
    <row r="64" spans="1:6" x14ac:dyDescent="0.25">
      <c r="A64">
        <v>57</v>
      </c>
      <c r="B64">
        <f t="shared" si="1"/>
        <v>0.26</v>
      </c>
      <c r="C64">
        <f t="shared" si="2"/>
        <v>6.9</v>
      </c>
      <c r="D64">
        <f t="shared" si="3"/>
        <v>75.73</v>
      </c>
      <c r="E64">
        <f t="shared" si="4"/>
        <v>7.6899999999999995</v>
      </c>
      <c r="F64">
        <f t="shared" si="0"/>
        <v>1.3800000000000001</v>
      </c>
    </row>
    <row r="65" spans="1:6" x14ac:dyDescent="0.25">
      <c r="A65">
        <v>58</v>
      </c>
      <c r="B65">
        <f t="shared" si="1"/>
        <v>0.25</v>
      </c>
      <c r="C65">
        <f t="shared" si="2"/>
        <v>6.8</v>
      </c>
      <c r="D65">
        <f t="shared" si="3"/>
        <v>76.23</v>
      </c>
      <c r="E65">
        <f t="shared" si="4"/>
        <v>8.19</v>
      </c>
      <c r="F65">
        <f t="shared" si="0"/>
        <v>1.02</v>
      </c>
    </row>
    <row r="66" spans="1:6" x14ac:dyDescent="0.25">
      <c r="A66">
        <v>59</v>
      </c>
      <c r="B66">
        <f t="shared" si="1"/>
        <v>0.24</v>
      </c>
      <c r="C66">
        <f t="shared" si="2"/>
        <v>6.8</v>
      </c>
      <c r="D66">
        <f t="shared" si="3"/>
        <v>76.72</v>
      </c>
      <c r="E66">
        <f t="shared" si="4"/>
        <v>8.68</v>
      </c>
      <c r="F66">
        <f t="shared" si="0"/>
        <v>0.67</v>
      </c>
    </row>
    <row r="67" spans="1:6" x14ac:dyDescent="0.25">
      <c r="A67">
        <v>60</v>
      </c>
      <c r="B67">
        <f t="shared" si="1"/>
        <v>0.23</v>
      </c>
      <c r="C67">
        <f t="shared" si="2"/>
        <v>6.8</v>
      </c>
      <c r="D67">
        <f t="shared" si="3"/>
        <v>77.2</v>
      </c>
      <c r="E67">
        <f t="shared" si="4"/>
        <v>9.16</v>
      </c>
      <c r="F67">
        <f t="shared" si="0"/>
        <v>0.33</v>
      </c>
    </row>
  </sheetData>
  <conditionalFormatting sqref="E7:E68">
    <cfRule type="cellIs" dxfId="7" priority="1" operator="lessThan">
      <formula>6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5C3DD-C0B6-4CC5-9266-278C8AE930BC}">
  <dimension ref="A2:Q67"/>
  <sheetViews>
    <sheetView workbookViewId="0">
      <selection activeCell="K11" sqref="K11"/>
    </sheetView>
  </sheetViews>
  <sheetFormatPr defaultRowHeight="15" x14ac:dyDescent="0.25"/>
  <cols>
    <col min="1" max="1" width="15.28515625" customWidth="1"/>
  </cols>
  <sheetData>
    <row r="2" spans="1:17" x14ac:dyDescent="0.25">
      <c r="A2" t="s">
        <v>3</v>
      </c>
      <c r="B2">
        <v>3.4</v>
      </c>
      <c r="C2" t="s">
        <v>7</v>
      </c>
      <c r="D2">
        <v>0.25</v>
      </c>
      <c r="F2" t="s">
        <v>22</v>
      </c>
      <c r="G2">
        <v>0.1</v>
      </c>
    </row>
    <row r="3" spans="1:17" x14ac:dyDescent="0.25">
      <c r="A3" t="s">
        <v>0</v>
      </c>
      <c r="B3">
        <v>6</v>
      </c>
      <c r="C3" t="s">
        <v>9</v>
      </c>
      <c r="D3">
        <v>78</v>
      </c>
    </row>
    <row r="4" spans="1:17" x14ac:dyDescent="0.25">
      <c r="A4" t="s">
        <v>1</v>
      </c>
      <c r="B4">
        <v>40</v>
      </c>
      <c r="C4" t="s">
        <v>11</v>
      </c>
      <c r="D4">
        <v>18</v>
      </c>
    </row>
    <row r="5" spans="1:17" x14ac:dyDescent="0.25">
      <c r="A5" t="s">
        <v>5</v>
      </c>
      <c r="B5">
        <f>B4-B3</f>
        <v>34</v>
      </c>
      <c r="C5" t="s">
        <v>12</v>
      </c>
      <c r="D5">
        <v>23</v>
      </c>
    </row>
    <row r="6" spans="1:17" x14ac:dyDescent="0.25">
      <c r="A6" t="s">
        <v>2</v>
      </c>
      <c r="B6" t="s">
        <v>4</v>
      </c>
      <c r="C6" t="s">
        <v>6</v>
      </c>
      <c r="D6" t="s">
        <v>8</v>
      </c>
      <c r="F6" t="s">
        <v>10</v>
      </c>
      <c r="G6" t="s">
        <v>13</v>
      </c>
      <c r="K6" t="s">
        <v>14</v>
      </c>
      <c r="L6" t="s">
        <v>20</v>
      </c>
      <c r="M6" t="s">
        <v>16</v>
      </c>
      <c r="N6" t="s">
        <v>17</v>
      </c>
      <c r="O6" t="s">
        <v>18</v>
      </c>
      <c r="P6" t="s">
        <v>19</v>
      </c>
      <c r="Q6" t="s">
        <v>21</v>
      </c>
    </row>
    <row r="7" spans="1:17" x14ac:dyDescent="0.25">
      <c r="A7">
        <v>0</v>
      </c>
      <c r="B7">
        <f>ROUND($B$2*POWER(2,-A7/17),2)</f>
        <v>3.4</v>
      </c>
      <c r="C7">
        <f>ROUND($B$3+$B$5*POWER(2,-A7/12),1)</f>
        <v>40</v>
      </c>
      <c r="D7">
        <f>B7+$D$2</f>
        <v>3.65</v>
      </c>
      <c r="E7">
        <f>IF(C7 &gt; $D$3, 0, B7+$D$2)</f>
        <v>3.65</v>
      </c>
      <c r="F7">
        <f t="shared" ref="F7:F67" si="0">IF(C7 &gt; $D$4, 0, F8+B7+$G$2)</f>
        <v>0</v>
      </c>
      <c r="K7" t="s">
        <v>53</v>
      </c>
      <c r="L7">
        <v>22.87</v>
      </c>
      <c r="M7">
        <v>40</v>
      </c>
      <c r="N7">
        <v>30</v>
      </c>
      <c r="O7">
        <v>3.4</v>
      </c>
      <c r="P7">
        <v>2.66</v>
      </c>
      <c r="Q7">
        <v>7</v>
      </c>
    </row>
    <row r="8" spans="1:17" x14ac:dyDescent="0.25">
      <c r="A8">
        <v>1</v>
      </c>
      <c r="B8">
        <f t="shared" ref="B8:B68" si="1">ROUND($B$2*POWER(2,-A8/17),2)</f>
        <v>3.26</v>
      </c>
      <c r="C8">
        <f t="shared" ref="C8:C68" si="2">ROUND($B$3+$B$5*POWER(2,-A8/12),1)</f>
        <v>38.1</v>
      </c>
      <c r="D8">
        <f>D7+B8+$D$2</f>
        <v>7.16</v>
      </c>
      <c r="E8">
        <f>IF(C8 &gt; $D$3, 0, IF(E7+B8+$D$2 &gt; $D$5, B8+$D$2, E7+B8+$D$2))</f>
        <v>7.16</v>
      </c>
      <c r="F8">
        <f t="shared" si="0"/>
        <v>0</v>
      </c>
      <c r="G8">
        <f>C8+C7</f>
        <v>78.099999999999994</v>
      </c>
      <c r="K8" t="s">
        <v>54</v>
      </c>
      <c r="L8">
        <v>21.9</v>
      </c>
      <c r="M8">
        <v>28.7</v>
      </c>
      <c r="N8">
        <v>20.3</v>
      </c>
      <c r="O8">
        <v>2.56</v>
      </c>
      <c r="P8">
        <v>1.84</v>
      </c>
      <c r="Q8">
        <v>9</v>
      </c>
    </row>
    <row r="9" spans="1:17" x14ac:dyDescent="0.25">
      <c r="A9">
        <v>2</v>
      </c>
      <c r="B9">
        <f t="shared" si="1"/>
        <v>3.13</v>
      </c>
      <c r="C9">
        <f t="shared" si="2"/>
        <v>36.299999999999997</v>
      </c>
      <c r="D9">
        <f t="shared" ref="D9:D67" si="3">D8+B9+$D$2</f>
        <v>10.54</v>
      </c>
      <c r="E9">
        <f t="shared" ref="E9:E67" si="4">IF(C9 &gt; $D$3, 0, IF(E8+B9+$D$2 &gt; $D$5, B9+$D$2, E8+B9+$D$2))</f>
        <v>10.54</v>
      </c>
      <c r="F9">
        <f t="shared" si="0"/>
        <v>0</v>
      </c>
      <c r="G9">
        <f t="shared" ref="G9:G44" si="5">C9+C8</f>
        <v>74.400000000000006</v>
      </c>
      <c r="K9" t="s">
        <v>55</v>
      </c>
      <c r="L9">
        <v>22.78</v>
      </c>
      <c r="M9">
        <v>19.5</v>
      </c>
      <c r="N9">
        <v>12.4</v>
      </c>
      <c r="O9">
        <v>1.77</v>
      </c>
      <c r="P9">
        <v>1.04</v>
      </c>
      <c r="Q9">
        <v>14</v>
      </c>
    </row>
    <row r="10" spans="1:17" x14ac:dyDescent="0.25">
      <c r="A10">
        <v>3</v>
      </c>
      <c r="B10">
        <f t="shared" si="1"/>
        <v>3.01</v>
      </c>
      <c r="C10">
        <f t="shared" si="2"/>
        <v>34.6</v>
      </c>
      <c r="D10">
        <f t="shared" si="3"/>
        <v>13.799999999999999</v>
      </c>
      <c r="E10">
        <f t="shared" si="4"/>
        <v>13.799999999999999</v>
      </c>
      <c r="F10">
        <f t="shared" si="0"/>
        <v>0</v>
      </c>
      <c r="G10">
        <f t="shared" si="5"/>
        <v>70.900000000000006</v>
      </c>
      <c r="K10" t="s">
        <v>56</v>
      </c>
      <c r="L10">
        <v>22</v>
      </c>
      <c r="M10">
        <v>12</v>
      </c>
      <c r="N10">
        <v>7.1</v>
      </c>
      <c r="O10">
        <v>1</v>
      </c>
      <c r="P10">
        <v>0.3</v>
      </c>
      <c r="Q10">
        <v>31</v>
      </c>
    </row>
    <row r="11" spans="1:17" x14ac:dyDescent="0.25">
      <c r="A11">
        <v>4</v>
      </c>
      <c r="B11">
        <f t="shared" si="1"/>
        <v>2.89</v>
      </c>
      <c r="C11">
        <f t="shared" si="2"/>
        <v>33</v>
      </c>
      <c r="D11">
        <f t="shared" si="3"/>
        <v>16.939999999999998</v>
      </c>
      <c r="E11">
        <f t="shared" si="4"/>
        <v>16.939999999999998</v>
      </c>
      <c r="F11">
        <f t="shared" si="0"/>
        <v>0</v>
      </c>
      <c r="G11">
        <f t="shared" si="5"/>
        <v>67.599999999999994</v>
      </c>
    </row>
    <row r="12" spans="1:17" x14ac:dyDescent="0.25">
      <c r="A12">
        <v>5</v>
      </c>
      <c r="B12">
        <f t="shared" si="1"/>
        <v>2.77</v>
      </c>
      <c r="C12">
        <f t="shared" si="2"/>
        <v>31.5</v>
      </c>
      <c r="D12">
        <f t="shared" si="3"/>
        <v>19.959999999999997</v>
      </c>
      <c r="E12">
        <f t="shared" si="4"/>
        <v>19.959999999999997</v>
      </c>
      <c r="F12">
        <f t="shared" si="0"/>
        <v>0</v>
      </c>
      <c r="G12">
        <f t="shared" si="5"/>
        <v>64.5</v>
      </c>
    </row>
    <row r="13" spans="1:17" x14ac:dyDescent="0.25">
      <c r="A13">
        <v>6</v>
      </c>
      <c r="B13">
        <f t="shared" si="1"/>
        <v>2.66</v>
      </c>
      <c r="C13">
        <f t="shared" si="2"/>
        <v>30</v>
      </c>
      <c r="D13">
        <f t="shared" si="3"/>
        <v>22.869999999999997</v>
      </c>
      <c r="E13">
        <f t="shared" si="4"/>
        <v>22.869999999999997</v>
      </c>
      <c r="F13">
        <f t="shared" si="0"/>
        <v>0</v>
      </c>
      <c r="G13">
        <f t="shared" si="5"/>
        <v>61.5</v>
      </c>
      <c r="K13" t="s">
        <v>23</v>
      </c>
      <c r="L13">
        <f>SUM(L7:L12)</f>
        <v>89.55</v>
      </c>
      <c r="Q13">
        <f>SUM(Q7:Q12)</f>
        <v>61</v>
      </c>
    </row>
    <row r="14" spans="1:17" x14ac:dyDescent="0.25">
      <c r="A14">
        <v>7</v>
      </c>
      <c r="B14">
        <f t="shared" si="1"/>
        <v>2.56</v>
      </c>
      <c r="C14">
        <f t="shared" si="2"/>
        <v>28.7</v>
      </c>
      <c r="D14">
        <f t="shared" si="3"/>
        <v>25.679999999999996</v>
      </c>
      <c r="E14">
        <f t="shared" si="4"/>
        <v>2.81</v>
      </c>
      <c r="F14">
        <f t="shared" si="0"/>
        <v>0</v>
      </c>
      <c r="G14">
        <f t="shared" si="5"/>
        <v>58.7</v>
      </c>
    </row>
    <row r="15" spans="1:17" x14ac:dyDescent="0.25">
      <c r="A15">
        <v>8</v>
      </c>
      <c r="B15">
        <f t="shared" si="1"/>
        <v>2.4500000000000002</v>
      </c>
      <c r="C15">
        <f t="shared" si="2"/>
        <v>27.4</v>
      </c>
      <c r="D15">
        <f t="shared" si="3"/>
        <v>28.379999999999995</v>
      </c>
      <c r="E15">
        <f t="shared" si="4"/>
        <v>5.51</v>
      </c>
      <c r="F15">
        <f t="shared" si="0"/>
        <v>0</v>
      </c>
      <c r="G15">
        <f t="shared" si="5"/>
        <v>56.099999999999994</v>
      </c>
    </row>
    <row r="16" spans="1:17" x14ac:dyDescent="0.25">
      <c r="A16">
        <v>9</v>
      </c>
      <c r="B16">
        <f t="shared" si="1"/>
        <v>2.36</v>
      </c>
      <c r="C16">
        <f t="shared" si="2"/>
        <v>26.2</v>
      </c>
      <c r="D16">
        <f t="shared" si="3"/>
        <v>30.989999999999995</v>
      </c>
      <c r="E16">
        <f t="shared" si="4"/>
        <v>8.1199999999999992</v>
      </c>
      <c r="F16">
        <f t="shared" si="0"/>
        <v>0</v>
      </c>
      <c r="G16">
        <f t="shared" si="5"/>
        <v>53.599999999999994</v>
      </c>
    </row>
    <row r="17" spans="1:7" x14ac:dyDescent="0.25">
      <c r="A17">
        <v>10</v>
      </c>
      <c r="B17">
        <f t="shared" si="1"/>
        <v>2.2599999999999998</v>
      </c>
      <c r="C17">
        <f t="shared" si="2"/>
        <v>25.1</v>
      </c>
      <c r="D17">
        <f t="shared" si="3"/>
        <v>33.499999999999993</v>
      </c>
      <c r="E17">
        <f t="shared" si="4"/>
        <v>10.629999999999999</v>
      </c>
      <c r="F17">
        <f t="shared" si="0"/>
        <v>0</v>
      </c>
      <c r="G17">
        <f t="shared" si="5"/>
        <v>51.3</v>
      </c>
    </row>
    <row r="18" spans="1:7" x14ac:dyDescent="0.25">
      <c r="A18">
        <v>11</v>
      </c>
      <c r="B18">
        <f t="shared" si="1"/>
        <v>2.17</v>
      </c>
      <c r="C18">
        <f t="shared" si="2"/>
        <v>24</v>
      </c>
      <c r="D18">
        <f t="shared" si="3"/>
        <v>35.919999999999995</v>
      </c>
      <c r="E18">
        <f t="shared" si="4"/>
        <v>13.049999999999999</v>
      </c>
      <c r="F18">
        <f t="shared" si="0"/>
        <v>0</v>
      </c>
      <c r="G18">
        <f t="shared" si="5"/>
        <v>49.1</v>
      </c>
    </row>
    <row r="19" spans="1:7" x14ac:dyDescent="0.25">
      <c r="A19">
        <v>12</v>
      </c>
      <c r="B19">
        <f t="shared" si="1"/>
        <v>2.08</v>
      </c>
      <c r="C19">
        <f t="shared" si="2"/>
        <v>23</v>
      </c>
      <c r="D19">
        <f t="shared" si="3"/>
        <v>38.249999999999993</v>
      </c>
      <c r="E19">
        <f t="shared" si="4"/>
        <v>15.379999999999999</v>
      </c>
      <c r="F19">
        <f t="shared" si="0"/>
        <v>0</v>
      </c>
      <c r="G19">
        <f t="shared" si="5"/>
        <v>47</v>
      </c>
    </row>
    <row r="20" spans="1:7" x14ac:dyDescent="0.25">
      <c r="A20">
        <v>13</v>
      </c>
      <c r="B20">
        <f t="shared" si="1"/>
        <v>2</v>
      </c>
      <c r="C20">
        <f t="shared" si="2"/>
        <v>22</v>
      </c>
      <c r="D20">
        <f t="shared" si="3"/>
        <v>40.499999999999993</v>
      </c>
      <c r="E20">
        <f t="shared" si="4"/>
        <v>17.63</v>
      </c>
      <c r="F20">
        <f t="shared" si="0"/>
        <v>0</v>
      </c>
      <c r="G20">
        <f t="shared" si="5"/>
        <v>45</v>
      </c>
    </row>
    <row r="21" spans="1:7" x14ac:dyDescent="0.25">
      <c r="A21">
        <v>14</v>
      </c>
      <c r="B21">
        <f t="shared" si="1"/>
        <v>1.92</v>
      </c>
      <c r="C21">
        <f t="shared" si="2"/>
        <v>21.1</v>
      </c>
      <c r="D21">
        <f t="shared" si="3"/>
        <v>42.669999999999995</v>
      </c>
      <c r="E21">
        <f t="shared" si="4"/>
        <v>19.799999999999997</v>
      </c>
      <c r="F21">
        <f t="shared" si="0"/>
        <v>0</v>
      </c>
      <c r="G21">
        <f t="shared" si="5"/>
        <v>43.1</v>
      </c>
    </row>
    <row r="22" spans="1:7" x14ac:dyDescent="0.25">
      <c r="A22">
        <v>15</v>
      </c>
      <c r="B22">
        <f t="shared" si="1"/>
        <v>1.84</v>
      </c>
      <c r="C22">
        <f t="shared" si="2"/>
        <v>20.3</v>
      </c>
      <c r="D22">
        <f t="shared" si="3"/>
        <v>44.76</v>
      </c>
      <c r="E22">
        <f t="shared" si="4"/>
        <v>21.889999999999997</v>
      </c>
      <c r="F22">
        <f t="shared" si="0"/>
        <v>0</v>
      </c>
      <c r="G22">
        <f t="shared" si="5"/>
        <v>41.400000000000006</v>
      </c>
    </row>
    <row r="23" spans="1:7" x14ac:dyDescent="0.25">
      <c r="A23">
        <v>16</v>
      </c>
      <c r="B23">
        <f t="shared" si="1"/>
        <v>1.77</v>
      </c>
      <c r="C23">
        <f t="shared" si="2"/>
        <v>19.5</v>
      </c>
      <c r="D23">
        <f t="shared" si="3"/>
        <v>46.78</v>
      </c>
      <c r="E23">
        <f t="shared" si="4"/>
        <v>2.02</v>
      </c>
      <c r="F23">
        <f t="shared" si="0"/>
        <v>0</v>
      </c>
      <c r="G23">
        <f t="shared" si="5"/>
        <v>39.799999999999997</v>
      </c>
    </row>
    <row r="24" spans="1:7" x14ac:dyDescent="0.25">
      <c r="A24">
        <v>17</v>
      </c>
      <c r="B24">
        <f t="shared" si="1"/>
        <v>1.7</v>
      </c>
      <c r="C24">
        <f t="shared" si="2"/>
        <v>18.7</v>
      </c>
      <c r="D24">
        <f t="shared" si="3"/>
        <v>48.730000000000004</v>
      </c>
      <c r="E24">
        <f t="shared" si="4"/>
        <v>3.9699999999999998</v>
      </c>
      <c r="F24">
        <f t="shared" si="0"/>
        <v>0</v>
      </c>
      <c r="G24">
        <f t="shared" si="5"/>
        <v>38.200000000000003</v>
      </c>
    </row>
    <row r="25" spans="1:7" x14ac:dyDescent="0.25">
      <c r="A25">
        <v>18</v>
      </c>
      <c r="B25">
        <f t="shared" si="1"/>
        <v>1.63</v>
      </c>
      <c r="C25">
        <f t="shared" si="2"/>
        <v>18</v>
      </c>
      <c r="D25">
        <f t="shared" si="3"/>
        <v>50.610000000000007</v>
      </c>
      <c r="E25">
        <f t="shared" si="4"/>
        <v>5.85</v>
      </c>
      <c r="F25">
        <f t="shared" si="0"/>
        <v>38.08000000000002</v>
      </c>
      <c r="G25">
        <f t="shared" si="5"/>
        <v>36.700000000000003</v>
      </c>
    </row>
    <row r="26" spans="1:7" x14ac:dyDescent="0.25">
      <c r="A26">
        <v>19</v>
      </c>
      <c r="B26">
        <f t="shared" si="1"/>
        <v>1.57</v>
      </c>
      <c r="C26">
        <f t="shared" si="2"/>
        <v>17.3</v>
      </c>
      <c r="D26">
        <f t="shared" si="3"/>
        <v>52.430000000000007</v>
      </c>
      <c r="E26">
        <f t="shared" si="4"/>
        <v>7.67</v>
      </c>
      <c r="F26">
        <f t="shared" si="0"/>
        <v>36.350000000000016</v>
      </c>
      <c r="G26">
        <f t="shared" si="5"/>
        <v>35.299999999999997</v>
      </c>
    </row>
    <row r="27" spans="1:7" x14ac:dyDescent="0.25">
      <c r="A27">
        <v>20</v>
      </c>
      <c r="B27">
        <f t="shared" si="1"/>
        <v>1.5</v>
      </c>
      <c r="C27">
        <f t="shared" si="2"/>
        <v>16.7</v>
      </c>
      <c r="D27">
        <f t="shared" si="3"/>
        <v>54.180000000000007</v>
      </c>
      <c r="E27">
        <f t="shared" si="4"/>
        <v>9.42</v>
      </c>
      <c r="F27">
        <f t="shared" si="0"/>
        <v>34.680000000000014</v>
      </c>
      <c r="G27">
        <f t="shared" si="5"/>
        <v>34</v>
      </c>
    </row>
    <row r="28" spans="1:7" x14ac:dyDescent="0.25">
      <c r="A28">
        <v>21</v>
      </c>
      <c r="B28">
        <f t="shared" si="1"/>
        <v>1.44</v>
      </c>
      <c r="C28">
        <f t="shared" si="2"/>
        <v>16.100000000000001</v>
      </c>
      <c r="D28">
        <f t="shared" si="3"/>
        <v>55.870000000000005</v>
      </c>
      <c r="E28">
        <f t="shared" si="4"/>
        <v>11.11</v>
      </c>
      <c r="F28">
        <f t="shared" si="0"/>
        <v>33.080000000000013</v>
      </c>
      <c r="G28">
        <f t="shared" si="5"/>
        <v>32.799999999999997</v>
      </c>
    </row>
    <row r="29" spans="1:7" x14ac:dyDescent="0.25">
      <c r="A29">
        <v>22</v>
      </c>
      <c r="B29">
        <f t="shared" si="1"/>
        <v>1.39</v>
      </c>
      <c r="C29">
        <f t="shared" si="2"/>
        <v>15.5</v>
      </c>
      <c r="D29">
        <f t="shared" si="3"/>
        <v>57.510000000000005</v>
      </c>
      <c r="E29">
        <f t="shared" si="4"/>
        <v>12.75</v>
      </c>
      <c r="F29">
        <f t="shared" si="0"/>
        <v>31.540000000000013</v>
      </c>
      <c r="G29">
        <f t="shared" si="5"/>
        <v>31.6</v>
      </c>
    </row>
    <row r="30" spans="1:7" x14ac:dyDescent="0.25">
      <c r="A30">
        <v>23</v>
      </c>
      <c r="B30">
        <f t="shared" si="1"/>
        <v>1.33</v>
      </c>
      <c r="C30">
        <f t="shared" si="2"/>
        <v>15</v>
      </c>
      <c r="D30">
        <f t="shared" si="3"/>
        <v>59.09</v>
      </c>
      <c r="E30">
        <f t="shared" si="4"/>
        <v>14.33</v>
      </c>
      <c r="F30">
        <f t="shared" si="0"/>
        <v>30.050000000000011</v>
      </c>
      <c r="G30">
        <f t="shared" si="5"/>
        <v>30.5</v>
      </c>
    </row>
    <row r="31" spans="1:7" x14ac:dyDescent="0.25">
      <c r="A31">
        <v>24</v>
      </c>
      <c r="B31">
        <f t="shared" si="1"/>
        <v>1.28</v>
      </c>
      <c r="C31">
        <f t="shared" si="2"/>
        <v>14.5</v>
      </c>
      <c r="D31">
        <f t="shared" si="3"/>
        <v>60.620000000000005</v>
      </c>
      <c r="E31">
        <f t="shared" si="4"/>
        <v>15.86</v>
      </c>
      <c r="F31">
        <f t="shared" si="0"/>
        <v>28.620000000000012</v>
      </c>
      <c r="G31">
        <f t="shared" si="5"/>
        <v>29.5</v>
      </c>
    </row>
    <row r="32" spans="1:7" x14ac:dyDescent="0.25">
      <c r="A32">
        <v>25</v>
      </c>
      <c r="B32">
        <f t="shared" si="1"/>
        <v>1.23</v>
      </c>
      <c r="C32">
        <f t="shared" si="2"/>
        <v>14</v>
      </c>
      <c r="D32">
        <f t="shared" si="3"/>
        <v>62.1</v>
      </c>
      <c r="E32">
        <f t="shared" si="4"/>
        <v>17.34</v>
      </c>
      <c r="F32">
        <f t="shared" si="0"/>
        <v>27.240000000000009</v>
      </c>
      <c r="G32">
        <f t="shared" si="5"/>
        <v>28.5</v>
      </c>
    </row>
    <row r="33" spans="1:7" x14ac:dyDescent="0.25">
      <c r="A33">
        <v>26</v>
      </c>
      <c r="B33">
        <f t="shared" si="1"/>
        <v>1.18</v>
      </c>
      <c r="C33">
        <f t="shared" si="2"/>
        <v>13.6</v>
      </c>
      <c r="D33">
        <f t="shared" si="3"/>
        <v>63.53</v>
      </c>
      <c r="E33">
        <f t="shared" si="4"/>
        <v>18.77</v>
      </c>
      <c r="F33">
        <f t="shared" si="0"/>
        <v>25.910000000000007</v>
      </c>
      <c r="G33">
        <f t="shared" si="5"/>
        <v>27.6</v>
      </c>
    </row>
    <row r="34" spans="1:7" x14ac:dyDescent="0.25">
      <c r="A34">
        <v>27</v>
      </c>
      <c r="B34">
        <f t="shared" si="1"/>
        <v>1.1299999999999999</v>
      </c>
      <c r="C34">
        <f t="shared" si="2"/>
        <v>13.1</v>
      </c>
      <c r="D34">
        <f t="shared" si="3"/>
        <v>64.91</v>
      </c>
      <c r="E34">
        <f t="shared" si="4"/>
        <v>20.149999999999999</v>
      </c>
      <c r="F34">
        <f t="shared" si="0"/>
        <v>24.630000000000006</v>
      </c>
      <c r="G34">
        <f t="shared" si="5"/>
        <v>26.7</v>
      </c>
    </row>
    <row r="35" spans="1:7" x14ac:dyDescent="0.25">
      <c r="A35">
        <v>28</v>
      </c>
      <c r="B35">
        <f t="shared" si="1"/>
        <v>1.0900000000000001</v>
      </c>
      <c r="C35">
        <f t="shared" si="2"/>
        <v>12.7</v>
      </c>
      <c r="D35">
        <f t="shared" si="3"/>
        <v>66.25</v>
      </c>
      <c r="E35">
        <f t="shared" si="4"/>
        <v>21.49</v>
      </c>
      <c r="F35">
        <f t="shared" si="0"/>
        <v>23.400000000000006</v>
      </c>
      <c r="G35">
        <f t="shared" si="5"/>
        <v>25.799999999999997</v>
      </c>
    </row>
    <row r="36" spans="1:7" x14ac:dyDescent="0.25">
      <c r="A36">
        <v>29</v>
      </c>
      <c r="B36">
        <f t="shared" si="1"/>
        <v>1.04</v>
      </c>
      <c r="C36">
        <f t="shared" si="2"/>
        <v>12.4</v>
      </c>
      <c r="D36">
        <f t="shared" si="3"/>
        <v>67.540000000000006</v>
      </c>
      <c r="E36">
        <f t="shared" si="4"/>
        <v>22.779999999999998</v>
      </c>
      <c r="F36">
        <f t="shared" si="0"/>
        <v>22.210000000000004</v>
      </c>
      <c r="G36">
        <f t="shared" si="5"/>
        <v>25.1</v>
      </c>
    </row>
    <row r="37" spans="1:7" x14ac:dyDescent="0.25">
      <c r="A37">
        <v>30</v>
      </c>
      <c r="B37">
        <f t="shared" si="1"/>
        <v>1</v>
      </c>
      <c r="C37">
        <f t="shared" si="2"/>
        <v>12</v>
      </c>
      <c r="D37">
        <f t="shared" si="3"/>
        <v>68.790000000000006</v>
      </c>
      <c r="E37">
        <f t="shared" si="4"/>
        <v>1.25</v>
      </c>
      <c r="F37">
        <f t="shared" si="0"/>
        <v>21.070000000000004</v>
      </c>
      <c r="G37">
        <f t="shared" si="5"/>
        <v>24.4</v>
      </c>
    </row>
    <row r="38" spans="1:7" x14ac:dyDescent="0.25">
      <c r="A38">
        <v>31</v>
      </c>
      <c r="B38">
        <f t="shared" si="1"/>
        <v>0.96</v>
      </c>
      <c r="C38">
        <f t="shared" si="2"/>
        <v>11.7</v>
      </c>
      <c r="D38">
        <f t="shared" si="3"/>
        <v>70</v>
      </c>
      <c r="E38">
        <f t="shared" si="4"/>
        <v>2.46</v>
      </c>
      <c r="F38">
        <f t="shared" si="0"/>
        <v>19.970000000000002</v>
      </c>
      <c r="G38">
        <f t="shared" si="5"/>
        <v>23.7</v>
      </c>
    </row>
    <row r="39" spans="1:7" x14ac:dyDescent="0.25">
      <c r="A39">
        <v>32</v>
      </c>
      <c r="B39">
        <f t="shared" si="1"/>
        <v>0.92</v>
      </c>
      <c r="C39">
        <f t="shared" si="2"/>
        <v>11.4</v>
      </c>
      <c r="D39">
        <f t="shared" si="3"/>
        <v>71.17</v>
      </c>
      <c r="E39">
        <f t="shared" si="4"/>
        <v>3.63</v>
      </c>
      <c r="F39">
        <f t="shared" si="0"/>
        <v>18.91</v>
      </c>
      <c r="G39">
        <f t="shared" si="5"/>
        <v>23.1</v>
      </c>
    </row>
    <row r="40" spans="1:7" x14ac:dyDescent="0.25">
      <c r="A40">
        <v>33</v>
      </c>
      <c r="B40">
        <f t="shared" si="1"/>
        <v>0.89</v>
      </c>
      <c r="C40">
        <f t="shared" si="2"/>
        <v>11.1</v>
      </c>
      <c r="D40">
        <f t="shared" si="3"/>
        <v>72.31</v>
      </c>
      <c r="E40">
        <f t="shared" si="4"/>
        <v>4.7699999999999996</v>
      </c>
      <c r="F40">
        <f t="shared" si="0"/>
        <v>17.889999999999997</v>
      </c>
      <c r="G40">
        <f t="shared" si="5"/>
        <v>22.5</v>
      </c>
    </row>
    <row r="41" spans="1:7" x14ac:dyDescent="0.25">
      <c r="A41">
        <v>34</v>
      </c>
      <c r="B41">
        <f t="shared" si="1"/>
        <v>0.85</v>
      </c>
      <c r="C41">
        <f t="shared" si="2"/>
        <v>10.8</v>
      </c>
      <c r="D41">
        <f t="shared" si="3"/>
        <v>73.41</v>
      </c>
      <c r="E41">
        <f t="shared" si="4"/>
        <v>5.8699999999999992</v>
      </c>
      <c r="F41">
        <f t="shared" si="0"/>
        <v>16.899999999999995</v>
      </c>
      <c r="G41">
        <f t="shared" si="5"/>
        <v>21.9</v>
      </c>
    </row>
    <row r="42" spans="1:7" x14ac:dyDescent="0.25">
      <c r="A42">
        <v>35</v>
      </c>
      <c r="B42">
        <f t="shared" si="1"/>
        <v>0.82</v>
      </c>
      <c r="C42">
        <f t="shared" si="2"/>
        <v>10.5</v>
      </c>
      <c r="D42">
        <f t="shared" si="3"/>
        <v>74.47999999999999</v>
      </c>
      <c r="E42">
        <f t="shared" si="4"/>
        <v>6.9399999999999995</v>
      </c>
      <c r="F42">
        <f t="shared" si="0"/>
        <v>15.949999999999994</v>
      </c>
      <c r="G42">
        <f t="shared" si="5"/>
        <v>21.3</v>
      </c>
    </row>
    <row r="43" spans="1:7" x14ac:dyDescent="0.25">
      <c r="A43">
        <v>36</v>
      </c>
      <c r="B43">
        <f t="shared" si="1"/>
        <v>0.78</v>
      </c>
      <c r="C43">
        <f t="shared" si="2"/>
        <v>10.3</v>
      </c>
      <c r="D43">
        <f t="shared" si="3"/>
        <v>75.509999999999991</v>
      </c>
      <c r="E43">
        <f t="shared" si="4"/>
        <v>7.97</v>
      </c>
      <c r="F43">
        <f t="shared" si="0"/>
        <v>15.029999999999994</v>
      </c>
      <c r="G43">
        <f t="shared" si="5"/>
        <v>20.8</v>
      </c>
    </row>
    <row r="44" spans="1:7" x14ac:dyDescent="0.25">
      <c r="A44">
        <v>37</v>
      </c>
      <c r="B44">
        <f t="shared" si="1"/>
        <v>0.75</v>
      </c>
      <c r="C44">
        <f t="shared" si="2"/>
        <v>10</v>
      </c>
      <c r="D44">
        <f t="shared" si="3"/>
        <v>76.509999999999991</v>
      </c>
      <c r="E44">
        <f t="shared" si="4"/>
        <v>8.9699999999999989</v>
      </c>
      <c r="F44">
        <f t="shared" si="0"/>
        <v>14.149999999999995</v>
      </c>
      <c r="G44">
        <f t="shared" si="5"/>
        <v>20.3</v>
      </c>
    </row>
    <row r="45" spans="1:7" x14ac:dyDescent="0.25">
      <c r="A45">
        <v>38</v>
      </c>
      <c r="B45">
        <f t="shared" si="1"/>
        <v>0.72</v>
      </c>
      <c r="C45">
        <f t="shared" si="2"/>
        <v>9.8000000000000007</v>
      </c>
      <c r="D45">
        <f t="shared" si="3"/>
        <v>77.47999999999999</v>
      </c>
      <c r="E45">
        <f t="shared" si="4"/>
        <v>9.94</v>
      </c>
      <c r="F45">
        <f t="shared" si="0"/>
        <v>13.299999999999995</v>
      </c>
    </row>
    <row r="46" spans="1:7" x14ac:dyDescent="0.25">
      <c r="A46">
        <v>39</v>
      </c>
      <c r="B46">
        <f t="shared" si="1"/>
        <v>0.69</v>
      </c>
      <c r="C46">
        <f t="shared" si="2"/>
        <v>9.6</v>
      </c>
      <c r="D46">
        <f t="shared" si="3"/>
        <v>78.419999999999987</v>
      </c>
      <c r="E46">
        <f t="shared" si="4"/>
        <v>10.879999999999999</v>
      </c>
      <c r="F46">
        <f t="shared" si="0"/>
        <v>12.479999999999995</v>
      </c>
    </row>
    <row r="47" spans="1:7" x14ac:dyDescent="0.25">
      <c r="A47">
        <v>40</v>
      </c>
      <c r="B47">
        <f t="shared" si="1"/>
        <v>0.67</v>
      </c>
      <c r="C47">
        <f t="shared" si="2"/>
        <v>9.4</v>
      </c>
      <c r="D47">
        <f t="shared" si="3"/>
        <v>79.339999999999989</v>
      </c>
      <c r="E47">
        <f t="shared" si="4"/>
        <v>11.799999999999999</v>
      </c>
      <c r="F47">
        <f t="shared" si="0"/>
        <v>11.689999999999996</v>
      </c>
    </row>
    <row r="48" spans="1:7" x14ac:dyDescent="0.25">
      <c r="A48">
        <v>41</v>
      </c>
      <c r="B48">
        <f t="shared" si="1"/>
        <v>0.64</v>
      </c>
      <c r="C48">
        <f t="shared" si="2"/>
        <v>9.1999999999999993</v>
      </c>
      <c r="D48">
        <f t="shared" si="3"/>
        <v>80.22999999999999</v>
      </c>
      <c r="E48">
        <f t="shared" si="4"/>
        <v>12.69</v>
      </c>
      <c r="F48">
        <f t="shared" si="0"/>
        <v>10.919999999999996</v>
      </c>
    </row>
    <row r="49" spans="1:6" x14ac:dyDescent="0.25">
      <c r="A49">
        <v>42</v>
      </c>
      <c r="B49">
        <f t="shared" si="1"/>
        <v>0.61</v>
      </c>
      <c r="C49">
        <f t="shared" si="2"/>
        <v>9</v>
      </c>
      <c r="D49">
        <f t="shared" si="3"/>
        <v>81.089999999999989</v>
      </c>
      <c r="E49">
        <f t="shared" si="4"/>
        <v>13.549999999999999</v>
      </c>
      <c r="F49">
        <f t="shared" si="0"/>
        <v>10.179999999999996</v>
      </c>
    </row>
    <row r="50" spans="1:6" x14ac:dyDescent="0.25">
      <c r="A50">
        <v>43</v>
      </c>
      <c r="B50">
        <f t="shared" si="1"/>
        <v>0.59</v>
      </c>
      <c r="C50">
        <f t="shared" si="2"/>
        <v>8.8000000000000007</v>
      </c>
      <c r="D50">
        <f t="shared" si="3"/>
        <v>81.929999999999993</v>
      </c>
      <c r="E50">
        <f t="shared" si="4"/>
        <v>14.389999999999999</v>
      </c>
      <c r="F50">
        <f t="shared" si="0"/>
        <v>9.4699999999999971</v>
      </c>
    </row>
    <row r="51" spans="1:6" x14ac:dyDescent="0.25">
      <c r="A51">
        <v>44</v>
      </c>
      <c r="B51">
        <f t="shared" si="1"/>
        <v>0.56999999999999995</v>
      </c>
      <c r="C51">
        <f t="shared" si="2"/>
        <v>8.6999999999999993</v>
      </c>
      <c r="D51">
        <f t="shared" si="3"/>
        <v>82.749999999999986</v>
      </c>
      <c r="E51">
        <f t="shared" si="4"/>
        <v>15.209999999999999</v>
      </c>
      <c r="F51">
        <f t="shared" si="0"/>
        <v>8.7799999999999976</v>
      </c>
    </row>
    <row r="52" spans="1:6" x14ac:dyDescent="0.25">
      <c r="A52">
        <v>45</v>
      </c>
      <c r="B52">
        <f t="shared" si="1"/>
        <v>0.54</v>
      </c>
      <c r="C52">
        <f t="shared" si="2"/>
        <v>8.5</v>
      </c>
      <c r="D52">
        <f t="shared" si="3"/>
        <v>83.539999999999992</v>
      </c>
      <c r="E52">
        <f t="shared" si="4"/>
        <v>16</v>
      </c>
      <c r="F52">
        <f t="shared" si="0"/>
        <v>8.1099999999999977</v>
      </c>
    </row>
    <row r="53" spans="1:6" x14ac:dyDescent="0.25">
      <c r="A53">
        <v>46</v>
      </c>
      <c r="B53">
        <f t="shared" si="1"/>
        <v>0.52</v>
      </c>
      <c r="C53">
        <f t="shared" si="2"/>
        <v>8.4</v>
      </c>
      <c r="D53">
        <f t="shared" si="3"/>
        <v>84.309999999999988</v>
      </c>
      <c r="E53">
        <f t="shared" si="4"/>
        <v>16.77</v>
      </c>
      <c r="F53">
        <f t="shared" si="0"/>
        <v>7.4699999999999971</v>
      </c>
    </row>
    <row r="54" spans="1:6" x14ac:dyDescent="0.25">
      <c r="A54">
        <v>47</v>
      </c>
      <c r="B54">
        <f t="shared" si="1"/>
        <v>0.5</v>
      </c>
      <c r="C54">
        <f t="shared" si="2"/>
        <v>8.3000000000000007</v>
      </c>
      <c r="D54">
        <f t="shared" si="3"/>
        <v>85.059999999999988</v>
      </c>
      <c r="E54">
        <f t="shared" si="4"/>
        <v>17.52</v>
      </c>
      <c r="F54">
        <f t="shared" si="0"/>
        <v>6.8499999999999979</v>
      </c>
    </row>
    <row r="55" spans="1:6" x14ac:dyDescent="0.25">
      <c r="A55">
        <v>48</v>
      </c>
      <c r="B55">
        <f t="shared" si="1"/>
        <v>0.48</v>
      </c>
      <c r="C55">
        <f t="shared" si="2"/>
        <v>8.1</v>
      </c>
      <c r="D55">
        <f t="shared" si="3"/>
        <v>85.789999999999992</v>
      </c>
      <c r="E55">
        <f t="shared" si="4"/>
        <v>18.25</v>
      </c>
      <c r="F55">
        <f t="shared" si="0"/>
        <v>6.2499999999999982</v>
      </c>
    </row>
    <row r="56" spans="1:6" x14ac:dyDescent="0.25">
      <c r="A56">
        <v>49</v>
      </c>
      <c r="B56">
        <f t="shared" si="1"/>
        <v>0.46</v>
      </c>
      <c r="C56">
        <f t="shared" si="2"/>
        <v>8</v>
      </c>
      <c r="D56">
        <f t="shared" si="3"/>
        <v>86.499999999999986</v>
      </c>
      <c r="E56">
        <f t="shared" si="4"/>
        <v>18.96</v>
      </c>
      <c r="F56">
        <f t="shared" si="0"/>
        <v>5.669999999999999</v>
      </c>
    </row>
    <row r="57" spans="1:6" x14ac:dyDescent="0.25">
      <c r="A57">
        <v>50</v>
      </c>
      <c r="B57">
        <f t="shared" si="1"/>
        <v>0.44</v>
      </c>
      <c r="C57">
        <f t="shared" si="2"/>
        <v>7.9</v>
      </c>
      <c r="D57">
        <f t="shared" si="3"/>
        <v>87.189999999999984</v>
      </c>
      <c r="E57">
        <f t="shared" si="4"/>
        <v>19.650000000000002</v>
      </c>
      <c r="F57">
        <f t="shared" si="0"/>
        <v>5.1099999999999994</v>
      </c>
    </row>
    <row r="58" spans="1:6" x14ac:dyDescent="0.25">
      <c r="A58">
        <v>51</v>
      </c>
      <c r="B58">
        <f t="shared" si="1"/>
        <v>0.43</v>
      </c>
      <c r="C58">
        <f t="shared" si="2"/>
        <v>7.8</v>
      </c>
      <c r="D58">
        <f t="shared" si="3"/>
        <v>87.86999999999999</v>
      </c>
      <c r="E58">
        <f t="shared" si="4"/>
        <v>20.330000000000002</v>
      </c>
      <c r="F58">
        <f t="shared" si="0"/>
        <v>4.5699999999999994</v>
      </c>
    </row>
    <row r="59" spans="1:6" x14ac:dyDescent="0.25">
      <c r="A59">
        <v>52</v>
      </c>
      <c r="B59">
        <f t="shared" si="1"/>
        <v>0.41</v>
      </c>
      <c r="C59">
        <f t="shared" si="2"/>
        <v>7.7</v>
      </c>
      <c r="D59">
        <f t="shared" si="3"/>
        <v>88.529999999999987</v>
      </c>
      <c r="E59">
        <f t="shared" si="4"/>
        <v>20.990000000000002</v>
      </c>
      <c r="F59">
        <f t="shared" si="0"/>
        <v>4.04</v>
      </c>
    </row>
    <row r="60" spans="1:6" x14ac:dyDescent="0.25">
      <c r="A60">
        <v>53</v>
      </c>
      <c r="B60">
        <f t="shared" si="1"/>
        <v>0.39</v>
      </c>
      <c r="C60">
        <f t="shared" si="2"/>
        <v>7.6</v>
      </c>
      <c r="D60">
        <f t="shared" si="3"/>
        <v>89.169999999999987</v>
      </c>
      <c r="E60">
        <f t="shared" si="4"/>
        <v>21.630000000000003</v>
      </c>
      <c r="F60">
        <f t="shared" si="0"/>
        <v>3.5300000000000002</v>
      </c>
    </row>
    <row r="61" spans="1:6" x14ac:dyDescent="0.25">
      <c r="A61">
        <v>54</v>
      </c>
      <c r="B61">
        <f t="shared" si="1"/>
        <v>0.38</v>
      </c>
      <c r="C61">
        <f t="shared" si="2"/>
        <v>7.5</v>
      </c>
      <c r="D61">
        <f t="shared" si="3"/>
        <v>89.799999999999983</v>
      </c>
      <c r="E61">
        <f t="shared" si="4"/>
        <v>22.26</v>
      </c>
      <c r="F61">
        <f t="shared" si="0"/>
        <v>3.04</v>
      </c>
    </row>
    <row r="62" spans="1:6" x14ac:dyDescent="0.25">
      <c r="A62">
        <v>55</v>
      </c>
      <c r="B62">
        <f t="shared" si="1"/>
        <v>0.36</v>
      </c>
      <c r="C62">
        <f t="shared" si="2"/>
        <v>7.4</v>
      </c>
      <c r="D62">
        <f t="shared" si="3"/>
        <v>90.409999999999982</v>
      </c>
      <c r="E62">
        <f t="shared" si="4"/>
        <v>22.87</v>
      </c>
      <c r="F62">
        <f t="shared" si="0"/>
        <v>2.56</v>
      </c>
    </row>
    <row r="63" spans="1:6" x14ac:dyDescent="0.25">
      <c r="A63">
        <v>56</v>
      </c>
      <c r="B63">
        <f t="shared" si="1"/>
        <v>0.35</v>
      </c>
      <c r="C63">
        <f t="shared" si="2"/>
        <v>7.3</v>
      </c>
      <c r="D63">
        <f t="shared" si="3"/>
        <v>91.009999999999977</v>
      </c>
      <c r="E63">
        <f t="shared" si="4"/>
        <v>0.6</v>
      </c>
      <c r="F63">
        <f t="shared" si="0"/>
        <v>2.1</v>
      </c>
    </row>
    <row r="64" spans="1:6" x14ac:dyDescent="0.25">
      <c r="A64">
        <v>57</v>
      </c>
      <c r="B64">
        <f t="shared" si="1"/>
        <v>0.33</v>
      </c>
      <c r="C64">
        <f t="shared" si="2"/>
        <v>7.3</v>
      </c>
      <c r="D64">
        <f t="shared" si="3"/>
        <v>91.589999999999975</v>
      </c>
      <c r="E64">
        <f t="shared" si="4"/>
        <v>1.18</v>
      </c>
      <c r="F64">
        <f t="shared" si="0"/>
        <v>1.6500000000000001</v>
      </c>
    </row>
    <row r="65" spans="1:6" x14ac:dyDescent="0.25">
      <c r="A65">
        <v>58</v>
      </c>
      <c r="B65">
        <f t="shared" si="1"/>
        <v>0.32</v>
      </c>
      <c r="C65">
        <f t="shared" si="2"/>
        <v>7.2</v>
      </c>
      <c r="D65">
        <f t="shared" si="3"/>
        <v>92.159999999999968</v>
      </c>
      <c r="E65">
        <f t="shared" si="4"/>
        <v>1.75</v>
      </c>
      <c r="F65">
        <f t="shared" si="0"/>
        <v>1.22</v>
      </c>
    </row>
    <row r="66" spans="1:6" x14ac:dyDescent="0.25">
      <c r="A66">
        <v>59</v>
      </c>
      <c r="B66">
        <f t="shared" si="1"/>
        <v>0.31</v>
      </c>
      <c r="C66">
        <f t="shared" si="2"/>
        <v>7.1</v>
      </c>
      <c r="D66">
        <f t="shared" si="3"/>
        <v>92.71999999999997</v>
      </c>
      <c r="E66">
        <f t="shared" si="4"/>
        <v>2.31</v>
      </c>
      <c r="F66">
        <f t="shared" si="0"/>
        <v>0.79999999999999993</v>
      </c>
    </row>
    <row r="67" spans="1:6" x14ac:dyDescent="0.25">
      <c r="A67">
        <v>60</v>
      </c>
      <c r="B67">
        <f t="shared" si="1"/>
        <v>0.28999999999999998</v>
      </c>
      <c r="C67">
        <f t="shared" si="2"/>
        <v>7.1</v>
      </c>
      <c r="D67">
        <f t="shared" si="3"/>
        <v>93.259999999999977</v>
      </c>
      <c r="E67">
        <f t="shared" si="4"/>
        <v>2.85</v>
      </c>
      <c r="F67">
        <f t="shared" si="0"/>
        <v>0.39</v>
      </c>
    </row>
  </sheetData>
  <conditionalFormatting sqref="E7:E68">
    <cfRule type="cellIs" dxfId="3" priority="1" operator="lessThan">
      <formula>6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FF757-3F67-4485-A3C9-668444DD036A}">
  <dimension ref="A2:Q67"/>
  <sheetViews>
    <sheetView workbookViewId="0">
      <selection activeCell="B4" sqref="B4"/>
    </sheetView>
  </sheetViews>
  <sheetFormatPr defaultRowHeight="15" x14ac:dyDescent="0.25"/>
  <cols>
    <col min="1" max="1" width="15.28515625" customWidth="1"/>
  </cols>
  <sheetData>
    <row r="2" spans="1:17" x14ac:dyDescent="0.25">
      <c r="A2" t="s">
        <v>3</v>
      </c>
      <c r="B2">
        <v>4.5</v>
      </c>
      <c r="C2" t="s">
        <v>7</v>
      </c>
      <c r="D2">
        <v>0.25</v>
      </c>
      <c r="F2" t="s">
        <v>22</v>
      </c>
      <c r="G2">
        <v>0.1</v>
      </c>
    </row>
    <row r="3" spans="1:17" x14ac:dyDescent="0.25">
      <c r="A3" t="s">
        <v>0</v>
      </c>
      <c r="B3">
        <v>6</v>
      </c>
      <c r="C3" t="s">
        <v>9</v>
      </c>
      <c r="D3">
        <v>78</v>
      </c>
    </row>
    <row r="4" spans="1:17" x14ac:dyDescent="0.25">
      <c r="A4" t="s">
        <v>1</v>
      </c>
      <c r="B4">
        <v>56</v>
      </c>
      <c r="C4" t="s">
        <v>11</v>
      </c>
      <c r="D4">
        <v>18</v>
      </c>
    </row>
    <row r="5" spans="1:17" x14ac:dyDescent="0.25">
      <c r="A5" t="s">
        <v>5</v>
      </c>
      <c r="B5">
        <f>B4-B3</f>
        <v>50</v>
      </c>
      <c r="C5" t="s">
        <v>12</v>
      </c>
      <c r="D5">
        <v>23</v>
      </c>
    </row>
    <row r="6" spans="1:17" x14ac:dyDescent="0.25">
      <c r="A6" t="s">
        <v>2</v>
      </c>
      <c r="B6" t="s">
        <v>4</v>
      </c>
      <c r="C6" t="s">
        <v>6</v>
      </c>
      <c r="D6" t="s">
        <v>8</v>
      </c>
      <c r="F6" t="s">
        <v>10</v>
      </c>
      <c r="G6" t="s">
        <v>13</v>
      </c>
      <c r="K6" t="s">
        <v>14</v>
      </c>
      <c r="L6" t="s">
        <v>20</v>
      </c>
      <c r="M6" t="s">
        <v>16</v>
      </c>
      <c r="N6" t="s">
        <v>17</v>
      </c>
      <c r="O6" t="s">
        <v>18</v>
      </c>
      <c r="P6" t="s">
        <v>19</v>
      </c>
      <c r="Q6" t="s">
        <v>21</v>
      </c>
    </row>
    <row r="7" spans="1:17" x14ac:dyDescent="0.25">
      <c r="A7">
        <v>0</v>
      </c>
      <c r="B7">
        <f>ROUND($B$2*POWER(2,-A7/17),2)</f>
        <v>4.5</v>
      </c>
      <c r="C7">
        <f>ROUND($B$3+$B$5*POWER(2,-A7/12),1)</f>
        <v>56</v>
      </c>
      <c r="D7">
        <f>B7+$D$2</f>
        <v>4.75</v>
      </c>
      <c r="E7">
        <f>IF(C7 &gt; $D$3, 0, B7+$D$2)</f>
        <v>4.75</v>
      </c>
      <c r="F7">
        <f t="shared" ref="F7:F67" si="0">IF(C7 &gt; $D$4, 0, F8+B7+$G$2)</f>
        <v>0</v>
      </c>
      <c r="K7" t="s">
        <v>39</v>
      </c>
      <c r="L7">
        <v>22.02</v>
      </c>
      <c r="M7">
        <v>56</v>
      </c>
      <c r="N7">
        <v>45.7</v>
      </c>
      <c r="O7">
        <v>4.5</v>
      </c>
      <c r="P7">
        <v>3.82</v>
      </c>
      <c r="Q7">
        <v>5</v>
      </c>
    </row>
    <row r="8" spans="1:17" x14ac:dyDescent="0.25">
      <c r="A8">
        <v>1</v>
      </c>
      <c r="B8">
        <f t="shared" ref="B8:B68" si="1">ROUND($B$2*POWER(2,-A8/17),2)</f>
        <v>4.32</v>
      </c>
      <c r="C8">
        <f t="shared" ref="C8:C68" si="2">ROUND($B$3+$B$5*POWER(2,-A8/12),1)</f>
        <v>53.2</v>
      </c>
      <c r="D8">
        <f>D7+B8+$D$2</f>
        <v>9.32</v>
      </c>
      <c r="E8">
        <f>IF(C8 &gt; $D$3, 0, IF(E7+B8+$D$2 &gt; $D$5, B8+$D$2, E7+B8+$D$2))</f>
        <v>9.32</v>
      </c>
      <c r="F8">
        <f t="shared" si="0"/>
        <v>0</v>
      </c>
      <c r="G8">
        <f>C8+C7</f>
        <v>109.2</v>
      </c>
      <c r="K8" t="s">
        <v>40</v>
      </c>
      <c r="L8">
        <v>21.43</v>
      </c>
      <c r="M8">
        <v>43.5</v>
      </c>
      <c r="N8">
        <v>34.1</v>
      </c>
      <c r="O8">
        <v>3.67</v>
      </c>
      <c r="P8">
        <v>2.99</v>
      </c>
      <c r="Q8">
        <v>6</v>
      </c>
    </row>
    <row r="9" spans="1:17" x14ac:dyDescent="0.25">
      <c r="A9">
        <v>2</v>
      </c>
      <c r="B9">
        <f t="shared" si="1"/>
        <v>4.1500000000000004</v>
      </c>
      <c r="C9">
        <f t="shared" si="2"/>
        <v>50.5</v>
      </c>
      <c r="D9">
        <f t="shared" ref="D9:D68" si="3">D8+B9+$D$2</f>
        <v>13.72</v>
      </c>
      <c r="E9">
        <f t="shared" ref="E9:E68" si="4">IF(C9 &gt; $D$3, 0, IF(E8+B9+$D$2 &gt; $D$5, B9+$D$2, E8+B9+$D$2))</f>
        <v>13.72</v>
      </c>
      <c r="F9">
        <f t="shared" si="0"/>
        <v>0</v>
      </c>
      <c r="G9">
        <f t="shared" ref="G9:G44" si="5">C9+C8</f>
        <v>103.7</v>
      </c>
      <c r="K9" t="s">
        <v>41</v>
      </c>
      <c r="L9">
        <v>22.01</v>
      </c>
      <c r="M9">
        <v>32.5</v>
      </c>
      <c r="N9">
        <v>23.7</v>
      </c>
      <c r="O9">
        <v>2.87</v>
      </c>
      <c r="P9">
        <v>2.16</v>
      </c>
      <c r="Q9">
        <v>8</v>
      </c>
    </row>
    <row r="10" spans="1:17" x14ac:dyDescent="0.25">
      <c r="A10">
        <v>3</v>
      </c>
      <c r="B10">
        <f t="shared" si="1"/>
        <v>3.98</v>
      </c>
      <c r="C10">
        <f t="shared" si="2"/>
        <v>48</v>
      </c>
      <c r="D10">
        <f t="shared" si="3"/>
        <v>17.95</v>
      </c>
      <c r="E10">
        <f t="shared" si="4"/>
        <v>17.95</v>
      </c>
      <c r="F10">
        <f t="shared" si="0"/>
        <v>0</v>
      </c>
      <c r="G10">
        <f t="shared" si="5"/>
        <v>98.5</v>
      </c>
      <c r="K10" t="s">
        <v>42</v>
      </c>
      <c r="L10">
        <v>21.5</v>
      </c>
      <c r="M10">
        <v>22.7</v>
      </c>
      <c r="N10">
        <v>15.4</v>
      </c>
      <c r="O10">
        <v>1.91</v>
      </c>
      <c r="P10">
        <v>1.38</v>
      </c>
      <c r="Q10">
        <v>11</v>
      </c>
    </row>
    <row r="11" spans="1:17" x14ac:dyDescent="0.25">
      <c r="A11">
        <v>4</v>
      </c>
      <c r="B11">
        <f t="shared" si="1"/>
        <v>3.82</v>
      </c>
      <c r="C11">
        <f t="shared" si="2"/>
        <v>45.7</v>
      </c>
      <c r="D11">
        <f t="shared" si="3"/>
        <v>22.02</v>
      </c>
      <c r="E11">
        <f t="shared" si="4"/>
        <v>22.02</v>
      </c>
      <c r="F11">
        <f t="shared" si="0"/>
        <v>0</v>
      </c>
      <c r="G11">
        <f t="shared" si="5"/>
        <v>93.7</v>
      </c>
      <c r="K11" t="s">
        <v>43</v>
      </c>
      <c r="L11">
        <v>11.23</v>
      </c>
      <c r="M11">
        <v>14.8</v>
      </c>
      <c r="N11">
        <v>11.9</v>
      </c>
      <c r="O11">
        <v>1.32</v>
      </c>
      <c r="P11">
        <v>1</v>
      </c>
      <c r="Q11">
        <v>8</v>
      </c>
    </row>
    <row r="12" spans="1:17" x14ac:dyDescent="0.25">
      <c r="A12">
        <v>5</v>
      </c>
      <c r="B12">
        <f t="shared" si="1"/>
        <v>3.67</v>
      </c>
      <c r="C12">
        <f t="shared" si="2"/>
        <v>43.5</v>
      </c>
      <c r="D12">
        <f t="shared" si="3"/>
        <v>25.939999999999998</v>
      </c>
      <c r="E12">
        <f t="shared" si="4"/>
        <v>3.92</v>
      </c>
      <c r="F12">
        <f t="shared" si="0"/>
        <v>0</v>
      </c>
      <c r="G12">
        <f t="shared" si="5"/>
        <v>89.2</v>
      </c>
      <c r="K12" t="s">
        <v>44</v>
      </c>
      <c r="L12">
        <v>16.88</v>
      </c>
      <c r="M12">
        <v>11.6</v>
      </c>
      <c r="N12">
        <v>7.5</v>
      </c>
      <c r="O12">
        <v>0.96</v>
      </c>
      <c r="P12">
        <v>0.37</v>
      </c>
      <c r="Q12">
        <v>23</v>
      </c>
    </row>
    <row r="13" spans="1:17" x14ac:dyDescent="0.25">
      <c r="A13">
        <v>6</v>
      </c>
      <c r="B13">
        <f t="shared" si="1"/>
        <v>3.52</v>
      </c>
      <c r="C13">
        <f t="shared" si="2"/>
        <v>41.4</v>
      </c>
      <c r="D13">
        <f t="shared" si="3"/>
        <v>29.709999999999997</v>
      </c>
      <c r="E13">
        <f t="shared" si="4"/>
        <v>7.6899999999999995</v>
      </c>
      <c r="F13">
        <f t="shared" si="0"/>
        <v>0</v>
      </c>
      <c r="G13">
        <f t="shared" si="5"/>
        <v>84.9</v>
      </c>
      <c r="K13" t="s">
        <v>23</v>
      </c>
      <c r="L13">
        <f>SUM(L7:L12)</f>
        <v>115.07000000000001</v>
      </c>
      <c r="Q13">
        <f>SUM(Q7:Q12)</f>
        <v>61</v>
      </c>
    </row>
    <row r="14" spans="1:17" x14ac:dyDescent="0.25">
      <c r="A14">
        <v>7</v>
      </c>
      <c r="B14">
        <f t="shared" si="1"/>
        <v>3.38</v>
      </c>
      <c r="C14">
        <f t="shared" si="2"/>
        <v>39.4</v>
      </c>
      <c r="D14">
        <f t="shared" si="3"/>
        <v>33.339999999999996</v>
      </c>
      <c r="E14">
        <f t="shared" si="4"/>
        <v>11.32</v>
      </c>
      <c r="F14">
        <f t="shared" si="0"/>
        <v>0</v>
      </c>
      <c r="G14">
        <f t="shared" si="5"/>
        <v>80.8</v>
      </c>
    </row>
    <row r="15" spans="1:17" x14ac:dyDescent="0.25">
      <c r="A15">
        <v>8</v>
      </c>
      <c r="B15">
        <f t="shared" si="1"/>
        <v>3.25</v>
      </c>
      <c r="C15">
        <f t="shared" si="2"/>
        <v>37.5</v>
      </c>
      <c r="D15">
        <f t="shared" si="3"/>
        <v>36.839999999999996</v>
      </c>
      <c r="E15">
        <f t="shared" si="4"/>
        <v>14.82</v>
      </c>
      <c r="F15">
        <f t="shared" si="0"/>
        <v>0</v>
      </c>
      <c r="G15">
        <f t="shared" si="5"/>
        <v>76.900000000000006</v>
      </c>
    </row>
    <row r="16" spans="1:17" x14ac:dyDescent="0.25">
      <c r="A16">
        <v>9</v>
      </c>
      <c r="B16">
        <f t="shared" si="1"/>
        <v>3.12</v>
      </c>
      <c r="C16">
        <f t="shared" si="2"/>
        <v>35.700000000000003</v>
      </c>
      <c r="D16">
        <f t="shared" si="3"/>
        <v>40.209999999999994</v>
      </c>
      <c r="E16">
        <f t="shared" si="4"/>
        <v>18.190000000000001</v>
      </c>
      <c r="F16">
        <f t="shared" si="0"/>
        <v>0</v>
      </c>
      <c r="G16">
        <f t="shared" si="5"/>
        <v>73.2</v>
      </c>
    </row>
    <row r="17" spans="1:7" x14ac:dyDescent="0.25">
      <c r="A17">
        <v>10</v>
      </c>
      <c r="B17">
        <f t="shared" si="1"/>
        <v>2.99</v>
      </c>
      <c r="C17">
        <f t="shared" si="2"/>
        <v>34.1</v>
      </c>
      <c r="D17">
        <f t="shared" si="3"/>
        <v>43.449999999999996</v>
      </c>
      <c r="E17">
        <f t="shared" si="4"/>
        <v>21.43</v>
      </c>
      <c r="F17">
        <f t="shared" si="0"/>
        <v>0</v>
      </c>
      <c r="G17">
        <f t="shared" si="5"/>
        <v>69.800000000000011</v>
      </c>
    </row>
    <row r="18" spans="1:7" x14ac:dyDescent="0.25">
      <c r="A18">
        <v>11</v>
      </c>
      <c r="B18">
        <f t="shared" si="1"/>
        <v>2.87</v>
      </c>
      <c r="C18">
        <f t="shared" si="2"/>
        <v>32.5</v>
      </c>
      <c r="D18">
        <f t="shared" si="3"/>
        <v>46.569999999999993</v>
      </c>
      <c r="E18">
        <f t="shared" si="4"/>
        <v>3.12</v>
      </c>
      <c r="F18">
        <f t="shared" si="0"/>
        <v>0</v>
      </c>
      <c r="G18">
        <f t="shared" si="5"/>
        <v>66.599999999999994</v>
      </c>
    </row>
    <row r="19" spans="1:7" x14ac:dyDescent="0.25">
      <c r="A19">
        <v>12</v>
      </c>
      <c r="B19">
        <f t="shared" si="1"/>
        <v>2.76</v>
      </c>
      <c r="C19">
        <f t="shared" si="2"/>
        <v>31</v>
      </c>
      <c r="D19">
        <f t="shared" si="3"/>
        <v>49.579999999999991</v>
      </c>
      <c r="E19">
        <f t="shared" si="4"/>
        <v>6.13</v>
      </c>
      <c r="F19">
        <f t="shared" si="0"/>
        <v>0</v>
      </c>
      <c r="G19">
        <f t="shared" si="5"/>
        <v>63.5</v>
      </c>
    </row>
    <row r="20" spans="1:7" x14ac:dyDescent="0.25">
      <c r="A20">
        <v>13</v>
      </c>
      <c r="B20">
        <f t="shared" si="1"/>
        <v>2.65</v>
      </c>
      <c r="C20">
        <f t="shared" si="2"/>
        <v>29.6</v>
      </c>
      <c r="D20">
        <f t="shared" si="3"/>
        <v>52.47999999999999</v>
      </c>
      <c r="E20">
        <f t="shared" si="4"/>
        <v>9.0299999999999994</v>
      </c>
      <c r="F20">
        <f t="shared" si="0"/>
        <v>0</v>
      </c>
      <c r="G20">
        <f t="shared" si="5"/>
        <v>60.6</v>
      </c>
    </row>
    <row r="21" spans="1:7" x14ac:dyDescent="0.25">
      <c r="A21">
        <v>14</v>
      </c>
      <c r="B21">
        <f t="shared" si="1"/>
        <v>2.54</v>
      </c>
      <c r="C21">
        <f t="shared" si="2"/>
        <v>28.3</v>
      </c>
      <c r="D21">
        <f t="shared" si="3"/>
        <v>55.269999999999989</v>
      </c>
      <c r="E21">
        <f t="shared" si="4"/>
        <v>11.82</v>
      </c>
      <c r="F21">
        <f t="shared" si="0"/>
        <v>0</v>
      </c>
      <c r="G21">
        <f t="shared" si="5"/>
        <v>57.900000000000006</v>
      </c>
    </row>
    <row r="22" spans="1:7" x14ac:dyDescent="0.25">
      <c r="A22">
        <v>15</v>
      </c>
      <c r="B22">
        <f t="shared" si="1"/>
        <v>2.44</v>
      </c>
      <c r="C22">
        <f t="shared" si="2"/>
        <v>27</v>
      </c>
      <c r="D22">
        <f t="shared" si="3"/>
        <v>57.959999999999987</v>
      </c>
      <c r="E22">
        <f t="shared" si="4"/>
        <v>14.51</v>
      </c>
      <c r="F22">
        <f t="shared" si="0"/>
        <v>0</v>
      </c>
      <c r="G22">
        <f t="shared" si="5"/>
        <v>55.3</v>
      </c>
    </row>
    <row r="23" spans="1:7" x14ac:dyDescent="0.25">
      <c r="A23">
        <v>16</v>
      </c>
      <c r="B23">
        <f t="shared" si="1"/>
        <v>2.34</v>
      </c>
      <c r="C23">
        <f t="shared" si="2"/>
        <v>25.8</v>
      </c>
      <c r="D23">
        <f t="shared" si="3"/>
        <v>60.549999999999983</v>
      </c>
      <c r="E23">
        <f t="shared" si="4"/>
        <v>17.100000000000001</v>
      </c>
      <c r="F23">
        <f t="shared" si="0"/>
        <v>0</v>
      </c>
      <c r="G23">
        <f t="shared" si="5"/>
        <v>52.8</v>
      </c>
    </row>
    <row r="24" spans="1:7" x14ac:dyDescent="0.25">
      <c r="A24">
        <v>17</v>
      </c>
      <c r="B24">
        <f t="shared" si="1"/>
        <v>2.25</v>
      </c>
      <c r="C24">
        <f t="shared" si="2"/>
        <v>24.7</v>
      </c>
      <c r="D24">
        <f t="shared" si="3"/>
        <v>63.049999999999983</v>
      </c>
      <c r="E24">
        <f t="shared" si="4"/>
        <v>19.600000000000001</v>
      </c>
      <c r="F24">
        <f t="shared" si="0"/>
        <v>0</v>
      </c>
      <c r="G24">
        <f t="shared" si="5"/>
        <v>50.5</v>
      </c>
    </row>
    <row r="25" spans="1:7" x14ac:dyDescent="0.25">
      <c r="A25">
        <v>18</v>
      </c>
      <c r="B25">
        <f t="shared" si="1"/>
        <v>2.16</v>
      </c>
      <c r="C25">
        <f t="shared" si="2"/>
        <v>23.7</v>
      </c>
      <c r="D25">
        <f t="shared" si="3"/>
        <v>65.45999999999998</v>
      </c>
      <c r="E25">
        <f t="shared" si="4"/>
        <v>22.01</v>
      </c>
      <c r="F25">
        <f t="shared" si="0"/>
        <v>0</v>
      </c>
      <c r="G25">
        <f t="shared" si="5"/>
        <v>48.4</v>
      </c>
    </row>
    <row r="26" spans="1:7" x14ac:dyDescent="0.25">
      <c r="A26">
        <v>19</v>
      </c>
      <c r="B26">
        <f t="shared" si="1"/>
        <v>2.0699999999999998</v>
      </c>
      <c r="C26">
        <f t="shared" si="2"/>
        <v>22.7</v>
      </c>
      <c r="D26">
        <f t="shared" si="3"/>
        <v>67.779999999999973</v>
      </c>
      <c r="E26">
        <f t="shared" si="4"/>
        <v>2.3199999999999998</v>
      </c>
      <c r="F26">
        <f t="shared" si="0"/>
        <v>0</v>
      </c>
      <c r="G26">
        <f t="shared" si="5"/>
        <v>46.4</v>
      </c>
    </row>
    <row r="27" spans="1:7" x14ac:dyDescent="0.25">
      <c r="A27">
        <v>20</v>
      </c>
      <c r="B27">
        <f t="shared" si="1"/>
        <v>1.99</v>
      </c>
      <c r="C27">
        <f t="shared" si="2"/>
        <v>21.7</v>
      </c>
      <c r="D27">
        <f t="shared" si="3"/>
        <v>70.019999999999968</v>
      </c>
      <c r="E27">
        <f t="shared" si="4"/>
        <v>4.5599999999999996</v>
      </c>
      <c r="F27">
        <f t="shared" si="0"/>
        <v>0</v>
      </c>
      <c r="G27">
        <f t="shared" si="5"/>
        <v>44.4</v>
      </c>
    </row>
    <row r="28" spans="1:7" x14ac:dyDescent="0.25">
      <c r="A28">
        <v>21</v>
      </c>
      <c r="B28">
        <f t="shared" si="1"/>
        <v>1.91</v>
      </c>
      <c r="C28">
        <f t="shared" si="2"/>
        <v>20.9</v>
      </c>
      <c r="D28">
        <f t="shared" si="3"/>
        <v>72.179999999999964</v>
      </c>
      <c r="E28">
        <f t="shared" si="4"/>
        <v>6.72</v>
      </c>
      <c r="F28">
        <f t="shared" si="0"/>
        <v>0</v>
      </c>
      <c r="G28">
        <f t="shared" si="5"/>
        <v>42.599999999999994</v>
      </c>
    </row>
    <row r="29" spans="1:7" x14ac:dyDescent="0.25">
      <c r="A29">
        <v>22</v>
      </c>
      <c r="B29">
        <f t="shared" si="1"/>
        <v>1.84</v>
      </c>
      <c r="C29">
        <f t="shared" si="2"/>
        <v>20</v>
      </c>
      <c r="D29">
        <f t="shared" si="3"/>
        <v>74.269999999999968</v>
      </c>
      <c r="E29">
        <f t="shared" si="4"/>
        <v>8.81</v>
      </c>
      <c r="F29">
        <f t="shared" si="0"/>
        <v>0</v>
      </c>
      <c r="G29">
        <f t="shared" si="5"/>
        <v>40.9</v>
      </c>
    </row>
    <row r="30" spans="1:7" x14ac:dyDescent="0.25">
      <c r="A30">
        <v>23</v>
      </c>
      <c r="B30">
        <f t="shared" si="1"/>
        <v>1.76</v>
      </c>
      <c r="C30">
        <f t="shared" si="2"/>
        <v>19.2</v>
      </c>
      <c r="D30">
        <f t="shared" si="3"/>
        <v>76.279999999999973</v>
      </c>
      <c r="E30">
        <f t="shared" si="4"/>
        <v>10.82</v>
      </c>
      <c r="F30">
        <f t="shared" si="0"/>
        <v>0</v>
      </c>
      <c r="G30">
        <f t="shared" si="5"/>
        <v>39.200000000000003</v>
      </c>
    </row>
    <row r="31" spans="1:7" x14ac:dyDescent="0.25">
      <c r="A31">
        <v>24</v>
      </c>
      <c r="B31">
        <f t="shared" si="1"/>
        <v>1.69</v>
      </c>
      <c r="C31">
        <f t="shared" si="2"/>
        <v>18.5</v>
      </c>
      <c r="D31">
        <f t="shared" si="3"/>
        <v>78.21999999999997</v>
      </c>
      <c r="E31">
        <f t="shared" si="4"/>
        <v>12.76</v>
      </c>
      <c r="F31">
        <f t="shared" si="0"/>
        <v>0</v>
      </c>
      <c r="G31">
        <f t="shared" si="5"/>
        <v>37.700000000000003</v>
      </c>
    </row>
    <row r="32" spans="1:7" x14ac:dyDescent="0.25">
      <c r="A32">
        <v>25</v>
      </c>
      <c r="B32">
        <f t="shared" si="1"/>
        <v>1.62</v>
      </c>
      <c r="C32">
        <f t="shared" si="2"/>
        <v>17.8</v>
      </c>
      <c r="D32">
        <f t="shared" si="3"/>
        <v>80.089999999999975</v>
      </c>
      <c r="E32">
        <f t="shared" si="4"/>
        <v>14.629999999999999</v>
      </c>
      <c r="F32">
        <f t="shared" si="0"/>
        <v>34.910000000000004</v>
      </c>
      <c r="G32">
        <f t="shared" si="5"/>
        <v>36.299999999999997</v>
      </c>
    </row>
    <row r="33" spans="1:7" x14ac:dyDescent="0.25">
      <c r="A33">
        <v>26</v>
      </c>
      <c r="B33">
        <f t="shared" si="1"/>
        <v>1.56</v>
      </c>
      <c r="C33">
        <f t="shared" si="2"/>
        <v>17.100000000000001</v>
      </c>
      <c r="D33">
        <f t="shared" si="3"/>
        <v>81.899999999999977</v>
      </c>
      <c r="E33">
        <f t="shared" si="4"/>
        <v>16.439999999999998</v>
      </c>
      <c r="F33">
        <f t="shared" si="0"/>
        <v>33.190000000000005</v>
      </c>
      <c r="G33">
        <f t="shared" si="5"/>
        <v>34.900000000000006</v>
      </c>
    </row>
    <row r="34" spans="1:7" x14ac:dyDescent="0.25">
      <c r="A34">
        <v>27</v>
      </c>
      <c r="B34">
        <f t="shared" si="1"/>
        <v>1.5</v>
      </c>
      <c r="C34">
        <f t="shared" si="2"/>
        <v>16.5</v>
      </c>
      <c r="D34">
        <f t="shared" si="3"/>
        <v>83.649999999999977</v>
      </c>
      <c r="E34">
        <f t="shared" si="4"/>
        <v>18.189999999999998</v>
      </c>
      <c r="F34">
        <f t="shared" si="0"/>
        <v>31.530000000000005</v>
      </c>
      <c r="G34">
        <f t="shared" si="5"/>
        <v>33.6</v>
      </c>
    </row>
    <row r="35" spans="1:7" x14ac:dyDescent="0.25">
      <c r="A35">
        <v>28</v>
      </c>
      <c r="B35">
        <f t="shared" si="1"/>
        <v>1.44</v>
      </c>
      <c r="C35">
        <f t="shared" si="2"/>
        <v>15.9</v>
      </c>
      <c r="D35">
        <f t="shared" si="3"/>
        <v>85.339999999999975</v>
      </c>
      <c r="E35">
        <f t="shared" si="4"/>
        <v>19.88</v>
      </c>
      <c r="F35">
        <f t="shared" si="0"/>
        <v>29.930000000000003</v>
      </c>
      <c r="G35">
        <f t="shared" si="5"/>
        <v>32.4</v>
      </c>
    </row>
    <row r="36" spans="1:7" x14ac:dyDescent="0.25">
      <c r="A36">
        <v>29</v>
      </c>
      <c r="B36">
        <f t="shared" si="1"/>
        <v>1.38</v>
      </c>
      <c r="C36">
        <f t="shared" si="2"/>
        <v>15.4</v>
      </c>
      <c r="D36">
        <f t="shared" si="3"/>
        <v>86.96999999999997</v>
      </c>
      <c r="E36">
        <f t="shared" si="4"/>
        <v>21.509999999999998</v>
      </c>
      <c r="F36">
        <f t="shared" si="0"/>
        <v>28.39</v>
      </c>
      <c r="G36">
        <f t="shared" si="5"/>
        <v>31.3</v>
      </c>
    </row>
    <row r="37" spans="1:7" x14ac:dyDescent="0.25">
      <c r="A37">
        <v>30</v>
      </c>
      <c r="B37">
        <f t="shared" si="1"/>
        <v>1.32</v>
      </c>
      <c r="C37">
        <f t="shared" si="2"/>
        <v>14.8</v>
      </c>
      <c r="D37">
        <f t="shared" si="3"/>
        <v>88.539999999999964</v>
      </c>
      <c r="E37">
        <f t="shared" si="4"/>
        <v>1.57</v>
      </c>
      <c r="F37">
        <f t="shared" si="0"/>
        <v>26.91</v>
      </c>
      <c r="G37">
        <f t="shared" si="5"/>
        <v>30.200000000000003</v>
      </c>
    </row>
    <row r="38" spans="1:7" x14ac:dyDescent="0.25">
      <c r="A38">
        <v>31</v>
      </c>
      <c r="B38">
        <f t="shared" si="1"/>
        <v>1.27</v>
      </c>
      <c r="C38">
        <f t="shared" si="2"/>
        <v>14.3</v>
      </c>
      <c r="D38">
        <f t="shared" si="3"/>
        <v>90.05999999999996</v>
      </c>
      <c r="E38">
        <f t="shared" si="4"/>
        <v>3.09</v>
      </c>
      <c r="F38">
        <f t="shared" si="0"/>
        <v>25.49</v>
      </c>
      <c r="G38">
        <f t="shared" si="5"/>
        <v>29.1</v>
      </c>
    </row>
    <row r="39" spans="1:7" x14ac:dyDescent="0.25">
      <c r="A39">
        <v>32</v>
      </c>
      <c r="B39">
        <f t="shared" si="1"/>
        <v>1.22</v>
      </c>
      <c r="C39">
        <f t="shared" si="2"/>
        <v>13.9</v>
      </c>
      <c r="D39">
        <f t="shared" si="3"/>
        <v>91.529999999999959</v>
      </c>
      <c r="E39">
        <f t="shared" si="4"/>
        <v>4.5599999999999996</v>
      </c>
      <c r="F39">
        <f t="shared" si="0"/>
        <v>24.119999999999997</v>
      </c>
      <c r="G39">
        <f t="shared" si="5"/>
        <v>28.200000000000003</v>
      </c>
    </row>
    <row r="40" spans="1:7" x14ac:dyDescent="0.25">
      <c r="A40">
        <v>33</v>
      </c>
      <c r="B40">
        <f t="shared" si="1"/>
        <v>1.17</v>
      </c>
      <c r="C40">
        <f t="shared" si="2"/>
        <v>13.4</v>
      </c>
      <c r="D40">
        <f t="shared" si="3"/>
        <v>92.94999999999996</v>
      </c>
      <c r="E40">
        <f t="shared" si="4"/>
        <v>5.9799999999999995</v>
      </c>
      <c r="F40">
        <f t="shared" si="0"/>
        <v>22.799999999999997</v>
      </c>
      <c r="G40">
        <f t="shared" si="5"/>
        <v>27.3</v>
      </c>
    </row>
    <row r="41" spans="1:7" x14ac:dyDescent="0.25">
      <c r="A41">
        <v>34</v>
      </c>
      <c r="B41">
        <f t="shared" si="1"/>
        <v>1.1299999999999999</v>
      </c>
      <c r="C41">
        <f t="shared" si="2"/>
        <v>13</v>
      </c>
      <c r="D41">
        <f t="shared" si="3"/>
        <v>94.329999999999956</v>
      </c>
      <c r="E41">
        <f t="shared" si="4"/>
        <v>7.3599999999999994</v>
      </c>
      <c r="F41">
        <f t="shared" si="0"/>
        <v>21.529999999999998</v>
      </c>
      <c r="G41">
        <f t="shared" si="5"/>
        <v>26.4</v>
      </c>
    </row>
    <row r="42" spans="1:7" x14ac:dyDescent="0.25">
      <c r="A42">
        <v>35</v>
      </c>
      <c r="B42">
        <f t="shared" si="1"/>
        <v>1.08</v>
      </c>
      <c r="C42">
        <f t="shared" si="2"/>
        <v>12.6</v>
      </c>
      <c r="D42">
        <f t="shared" si="3"/>
        <v>95.659999999999954</v>
      </c>
      <c r="E42">
        <f t="shared" si="4"/>
        <v>8.69</v>
      </c>
      <c r="F42">
        <f t="shared" si="0"/>
        <v>20.299999999999997</v>
      </c>
      <c r="G42">
        <f t="shared" si="5"/>
        <v>25.6</v>
      </c>
    </row>
    <row r="43" spans="1:7" x14ac:dyDescent="0.25">
      <c r="A43">
        <v>36</v>
      </c>
      <c r="B43">
        <f t="shared" si="1"/>
        <v>1.04</v>
      </c>
      <c r="C43">
        <f t="shared" si="2"/>
        <v>12.3</v>
      </c>
      <c r="D43">
        <f t="shared" si="3"/>
        <v>96.94999999999996</v>
      </c>
      <c r="E43">
        <f t="shared" si="4"/>
        <v>9.98</v>
      </c>
      <c r="F43">
        <f t="shared" si="0"/>
        <v>19.119999999999997</v>
      </c>
      <c r="G43">
        <f t="shared" si="5"/>
        <v>24.9</v>
      </c>
    </row>
    <row r="44" spans="1:7" x14ac:dyDescent="0.25">
      <c r="A44">
        <v>37</v>
      </c>
      <c r="B44">
        <f t="shared" si="1"/>
        <v>1</v>
      </c>
      <c r="C44">
        <f t="shared" si="2"/>
        <v>11.9</v>
      </c>
      <c r="D44">
        <f t="shared" si="3"/>
        <v>98.19999999999996</v>
      </c>
      <c r="E44">
        <f t="shared" si="4"/>
        <v>11.23</v>
      </c>
      <c r="F44">
        <f t="shared" si="0"/>
        <v>17.979999999999997</v>
      </c>
      <c r="G44">
        <f t="shared" si="5"/>
        <v>24.200000000000003</v>
      </c>
    </row>
    <row r="45" spans="1:7" x14ac:dyDescent="0.25">
      <c r="A45">
        <v>38</v>
      </c>
      <c r="B45">
        <f t="shared" si="1"/>
        <v>0.96</v>
      </c>
      <c r="C45">
        <f t="shared" si="2"/>
        <v>11.6</v>
      </c>
      <c r="D45">
        <f t="shared" si="3"/>
        <v>99.409999999999954</v>
      </c>
      <c r="E45">
        <f t="shared" si="4"/>
        <v>12.440000000000001</v>
      </c>
      <c r="F45">
        <f t="shared" si="0"/>
        <v>16.879999999999995</v>
      </c>
    </row>
    <row r="46" spans="1:7" x14ac:dyDescent="0.25">
      <c r="A46">
        <v>39</v>
      </c>
      <c r="B46">
        <f t="shared" si="1"/>
        <v>0.92</v>
      </c>
      <c r="C46">
        <f t="shared" si="2"/>
        <v>11.3</v>
      </c>
      <c r="D46">
        <f t="shared" si="3"/>
        <v>100.57999999999996</v>
      </c>
      <c r="E46">
        <f t="shared" si="4"/>
        <v>13.610000000000001</v>
      </c>
      <c r="F46">
        <f t="shared" si="0"/>
        <v>15.819999999999995</v>
      </c>
    </row>
    <row r="47" spans="1:7" x14ac:dyDescent="0.25">
      <c r="A47">
        <v>40</v>
      </c>
      <c r="B47">
        <f t="shared" si="1"/>
        <v>0.88</v>
      </c>
      <c r="C47">
        <f t="shared" si="2"/>
        <v>11</v>
      </c>
      <c r="D47">
        <f t="shared" si="3"/>
        <v>101.70999999999995</v>
      </c>
      <c r="E47">
        <f t="shared" si="4"/>
        <v>14.740000000000002</v>
      </c>
      <c r="F47">
        <f t="shared" si="0"/>
        <v>14.799999999999995</v>
      </c>
    </row>
    <row r="48" spans="1:7" x14ac:dyDescent="0.25">
      <c r="A48">
        <v>41</v>
      </c>
      <c r="B48">
        <f t="shared" si="1"/>
        <v>0.85</v>
      </c>
      <c r="C48">
        <f t="shared" si="2"/>
        <v>10.7</v>
      </c>
      <c r="D48">
        <f t="shared" si="3"/>
        <v>102.80999999999995</v>
      </c>
      <c r="E48">
        <f t="shared" si="4"/>
        <v>15.840000000000002</v>
      </c>
      <c r="F48">
        <f t="shared" si="0"/>
        <v>13.819999999999995</v>
      </c>
    </row>
    <row r="49" spans="1:6" x14ac:dyDescent="0.25">
      <c r="A49">
        <v>42</v>
      </c>
      <c r="B49">
        <f t="shared" si="1"/>
        <v>0.81</v>
      </c>
      <c r="C49">
        <f t="shared" si="2"/>
        <v>10.4</v>
      </c>
      <c r="D49">
        <f t="shared" si="3"/>
        <v>103.86999999999995</v>
      </c>
      <c r="E49">
        <f t="shared" si="4"/>
        <v>16.900000000000002</v>
      </c>
      <c r="F49">
        <f t="shared" si="0"/>
        <v>12.869999999999996</v>
      </c>
    </row>
    <row r="50" spans="1:6" x14ac:dyDescent="0.25">
      <c r="A50">
        <v>43</v>
      </c>
      <c r="B50">
        <f t="shared" si="1"/>
        <v>0.78</v>
      </c>
      <c r="C50">
        <f t="shared" si="2"/>
        <v>10.199999999999999</v>
      </c>
      <c r="D50">
        <f t="shared" si="3"/>
        <v>104.89999999999995</v>
      </c>
      <c r="E50">
        <f t="shared" si="4"/>
        <v>17.930000000000003</v>
      </c>
      <c r="F50">
        <f t="shared" si="0"/>
        <v>11.959999999999996</v>
      </c>
    </row>
    <row r="51" spans="1:6" x14ac:dyDescent="0.25">
      <c r="A51">
        <v>44</v>
      </c>
      <c r="B51">
        <f t="shared" si="1"/>
        <v>0.75</v>
      </c>
      <c r="C51">
        <f t="shared" si="2"/>
        <v>9.9</v>
      </c>
      <c r="D51">
        <f t="shared" si="3"/>
        <v>105.89999999999995</v>
      </c>
      <c r="E51">
        <f t="shared" si="4"/>
        <v>18.930000000000003</v>
      </c>
      <c r="F51">
        <f t="shared" si="0"/>
        <v>11.079999999999997</v>
      </c>
    </row>
    <row r="52" spans="1:6" x14ac:dyDescent="0.25">
      <c r="A52">
        <v>45</v>
      </c>
      <c r="B52">
        <f t="shared" si="1"/>
        <v>0.72</v>
      </c>
      <c r="C52">
        <f t="shared" si="2"/>
        <v>9.6999999999999993</v>
      </c>
      <c r="D52">
        <f t="shared" si="3"/>
        <v>106.86999999999995</v>
      </c>
      <c r="E52">
        <f t="shared" si="4"/>
        <v>19.900000000000002</v>
      </c>
      <c r="F52">
        <f t="shared" si="0"/>
        <v>10.229999999999997</v>
      </c>
    </row>
    <row r="53" spans="1:6" x14ac:dyDescent="0.25">
      <c r="A53">
        <v>46</v>
      </c>
      <c r="B53">
        <f t="shared" si="1"/>
        <v>0.69</v>
      </c>
      <c r="C53">
        <f t="shared" si="2"/>
        <v>9.5</v>
      </c>
      <c r="D53">
        <f t="shared" si="3"/>
        <v>107.80999999999995</v>
      </c>
      <c r="E53">
        <f t="shared" si="4"/>
        <v>20.840000000000003</v>
      </c>
      <c r="F53">
        <f t="shared" si="0"/>
        <v>9.4099999999999966</v>
      </c>
    </row>
    <row r="54" spans="1:6" x14ac:dyDescent="0.25">
      <c r="A54">
        <v>47</v>
      </c>
      <c r="B54">
        <f t="shared" si="1"/>
        <v>0.66</v>
      </c>
      <c r="C54">
        <f t="shared" si="2"/>
        <v>9.3000000000000007</v>
      </c>
      <c r="D54">
        <f t="shared" si="3"/>
        <v>108.71999999999994</v>
      </c>
      <c r="E54">
        <f t="shared" si="4"/>
        <v>21.750000000000004</v>
      </c>
      <c r="F54">
        <f t="shared" si="0"/>
        <v>8.6199999999999974</v>
      </c>
    </row>
    <row r="55" spans="1:6" x14ac:dyDescent="0.25">
      <c r="A55">
        <v>48</v>
      </c>
      <c r="B55">
        <f t="shared" si="1"/>
        <v>0.64</v>
      </c>
      <c r="C55">
        <f t="shared" si="2"/>
        <v>9.1</v>
      </c>
      <c r="D55">
        <f t="shared" si="3"/>
        <v>109.60999999999994</v>
      </c>
      <c r="E55">
        <f t="shared" si="4"/>
        <v>22.640000000000004</v>
      </c>
      <c r="F55">
        <f t="shared" si="0"/>
        <v>7.8599999999999977</v>
      </c>
    </row>
    <row r="56" spans="1:6" x14ac:dyDescent="0.25">
      <c r="A56">
        <v>49</v>
      </c>
      <c r="B56">
        <f t="shared" si="1"/>
        <v>0.61</v>
      </c>
      <c r="C56">
        <f t="shared" si="2"/>
        <v>8.9</v>
      </c>
      <c r="D56">
        <f t="shared" si="3"/>
        <v>110.46999999999994</v>
      </c>
      <c r="E56">
        <f t="shared" si="4"/>
        <v>0.86</v>
      </c>
      <c r="F56">
        <f t="shared" si="0"/>
        <v>7.1199999999999983</v>
      </c>
    </row>
    <row r="57" spans="1:6" x14ac:dyDescent="0.25">
      <c r="A57">
        <v>50</v>
      </c>
      <c r="B57">
        <f t="shared" si="1"/>
        <v>0.59</v>
      </c>
      <c r="C57">
        <f t="shared" si="2"/>
        <v>8.8000000000000007</v>
      </c>
      <c r="D57">
        <f t="shared" si="3"/>
        <v>111.30999999999995</v>
      </c>
      <c r="E57">
        <f t="shared" si="4"/>
        <v>1.7</v>
      </c>
      <c r="F57">
        <f t="shared" si="0"/>
        <v>6.4099999999999984</v>
      </c>
    </row>
    <row r="58" spans="1:6" x14ac:dyDescent="0.25">
      <c r="A58">
        <v>51</v>
      </c>
      <c r="B58">
        <f t="shared" si="1"/>
        <v>0.56000000000000005</v>
      </c>
      <c r="C58">
        <f t="shared" si="2"/>
        <v>8.6</v>
      </c>
      <c r="D58">
        <f t="shared" si="3"/>
        <v>112.11999999999995</v>
      </c>
      <c r="E58">
        <f t="shared" si="4"/>
        <v>2.5099999999999998</v>
      </c>
      <c r="F58">
        <f t="shared" si="0"/>
        <v>5.7199999999999989</v>
      </c>
    </row>
    <row r="59" spans="1:6" x14ac:dyDescent="0.25">
      <c r="A59">
        <v>52</v>
      </c>
      <c r="B59">
        <f t="shared" si="1"/>
        <v>0.54</v>
      </c>
      <c r="C59">
        <f t="shared" si="2"/>
        <v>8.5</v>
      </c>
      <c r="D59">
        <f t="shared" si="3"/>
        <v>112.90999999999995</v>
      </c>
      <c r="E59">
        <f t="shared" si="4"/>
        <v>3.3</v>
      </c>
      <c r="F59">
        <f t="shared" si="0"/>
        <v>5.0599999999999996</v>
      </c>
    </row>
    <row r="60" spans="1:6" x14ac:dyDescent="0.25">
      <c r="A60">
        <v>53</v>
      </c>
      <c r="B60">
        <f t="shared" si="1"/>
        <v>0.52</v>
      </c>
      <c r="C60">
        <f t="shared" si="2"/>
        <v>8.3000000000000007</v>
      </c>
      <c r="D60">
        <f t="shared" si="3"/>
        <v>113.67999999999995</v>
      </c>
      <c r="E60">
        <f t="shared" si="4"/>
        <v>4.07</v>
      </c>
      <c r="F60">
        <f t="shared" si="0"/>
        <v>4.42</v>
      </c>
    </row>
    <row r="61" spans="1:6" x14ac:dyDescent="0.25">
      <c r="A61">
        <v>54</v>
      </c>
      <c r="B61">
        <f t="shared" si="1"/>
        <v>0.5</v>
      </c>
      <c r="C61">
        <f t="shared" si="2"/>
        <v>8.1999999999999993</v>
      </c>
      <c r="D61">
        <f t="shared" si="3"/>
        <v>114.42999999999995</v>
      </c>
      <c r="E61">
        <f t="shared" si="4"/>
        <v>4.82</v>
      </c>
      <c r="F61">
        <f t="shared" si="0"/>
        <v>3.8000000000000003</v>
      </c>
    </row>
    <row r="62" spans="1:6" x14ac:dyDescent="0.25">
      <c r="A62">
        <v>55</v>
      </c>
      <c r="B62">
        <f t="shared" si="1"/>
        <v>0.48</v>
      </c>
      <c r="C62">
        <f t="shared" si="2"/>
        <v>8.1</v>
      </c>
      <c r="D62">
        <f t="shared" si="3"/>
        <v>115.15999999999995</v>
      </c>
      <c r="E62">
        <f t="shared" si="4"/>
        <v>5.5500000000000007</v>
      </c>
      <c r="F62">
        <f t="shared" si="0"/>
        <v>3.2</v>
      </c>
    </row>
    <row r="63" spans="1:6" x14ac:dyDescent="0.25">
      <c r="A63">
        <v>56</v>
      </c>
      <c r="B63">
        <f t="shared" si="1"/>
        <v>0.46</v>
      </c>
      <c r="C63">
        <f t="shared" si="2"/>
        <v>8</v>
      </c>
      <c r="D63">
        <f t="shared" si="3"/>
        <v>115.86999999999995</v>
      </c>
      <c r="E63">
        <f t="shared" si="4"/>
        <v>6.2600000000000007</v>
      </c>
      <c r="F63">
        <f t="shared" si="0"/>
        <v>2.62</v>
      </c>
    </row>
    <row r="64" spans="1:6" x14ac:dyDescent="0.25">
      <c r="A64">
        <v>57</v>
      </c>
      <c r="B64">
        <f t="shared" si="1"/>
        <v>0.44</v>
      </c>
      <c r="C64">
        <f t="shared" si="2"/>
        <v>7.9</v>
      </c>
      <c r="D64">
        <f t="shared" si="3"/>
        <v>116.55999999999995</v>
      </c>
      <c r="E64">
        <f t="shared" si="4"/>
        <v>6.9500000000000011</v>
      </c>
      <c r="F64">
        <f t="shared" si="0"/>
        <v>2.06</v>
      </c>
    </row>
    <row r="65" spans="1:6" x14ac:dyDescent="0.25">
      <c r="A65">
        <v>58</v>
      </c>
      <c r="B65">
        <f t="shared" si="1"/>
        <v>0.42</v>
      </c>
      <c r="C65">
        <f t="shared" si="2"/>
        <v>7.8</v>
      </c>
      <c r="D65">
        <f t="shared" si="3"/>
        <v>117.22999999999995</v>
      </c>
      <c r="E65">
        <f t="shared" si="4"/>
        <v>7.620000000000001</v>
      </c>
      <c r="F65">
        <f t="shared" si="0"/>
        <v>1.52</v>
      </c>
    </row>
    <row r="66" spans="1:6" x14ac:dyDescent="0.25">
      <c r="A66">
        <v>59</v>
      </c>
      <c r="B66">
        <f t="shared" si="1"/>
        <v>0.41</v>
      </c>
      <c r="C66">
        <f t="shared" si="2"/>
        <v>7.7</v>
      </c>
      <c r="D66">
        <f t="shared" si="3"/>
        <v>117.88999999999994</v>
      </c>
      <c r="E66">
        <f t="shared" si="4"/>
        <v>8.2800000000000011</v>
      </c>
      <c r="F66">
        <f t="shared" si="0"/>
        <v>0.99999999999999989</v>
      </c>
    </row>
    <row r="67" spans="1:6" x14ac:dyDescent="0.25">
      <c r="A67">
        <v>60</v>
      </c>
      <c r="B67">
        <f t="shared" si="1"/>
        <v>0.39</v>
      </c>
      <c r="C67">
        <f t="shared" si="2"/>
        <v>7.6</v>
      </c>
      <c r="D67">
        <f t="shared" si="3"/>
        <v>118.52999999999994</v>
      </c>
      <c r="E67">
        <f t="shared" si="4"/>
        <v>8.9200000000000017</v>
      </c>
      <c r="F67">
        <f t="shared" si="0"/>
        <v>0.49</v>
      </c>
    </row>
  </sheetData>
  <conditionalFormatting sqref="E7:E68">
    <cfRule type="cellIs" dxfId="11" priority="1" operator="lessThan">
      <formula>6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1F0D5-9109-4E56-A944-1CB10A1D46A3}">
  <dimension ref="A2:Q67"/>
  <sheetViews>
    <sheetView workbookViewId="0">
      <selection activeCell="K11" sqref="K11"/>
    </sheetView>
  </sheetViews>
  <sheetFormatPr defaultRowHeight="15" x14ac:dyDescent="0.25"/>
  <cols>
    <col min="1" max="1" width="15.28515625" customWidth="1"/>
  </cols>
  <sheetData>
    <row r="2" spans="1:17" x14ac:dyDescent="0.25">
      <c r="A2" t="s">
        <v>3</v>
      </c>
      <c r="B2">
        <v>2</v>
      </c>
      <c r="C2" t="s">
        <v>7</v>
      </c>
      <c r="D2">
        <v>0.25</v>
      </c>
      <c r="G2">
        <v>0.1</v>
      </c>
    </row>
    <row r="3" spans="1:17" x14ac:dyDescent="0.25">
      <c r="A3" t="s">
        <v>0</v>
      </c>
      <c r="B3">
        <v>6</v>
      </c>
      <c r="C3" t="s">
        <v>9</v>
      </c>
      <c r="D3">
        <v>78</v>
      </c>
    </row>
    <row r="4" spans="1:17" x14ac:dyDescent="0.25">
      <c r="A4" t="s">
        <v>1</v>
      </c>
      <c r="B4">
        <v>56</v>
      </c>
      <c r="C4" t="s">
        <v>11</v>
      </c>
      <c r="D4">
        <v>18</v>
      </c>
    </row>
    <row r="5" spans="1:17" x14ac:dyDescent="0.25">
      <c r="A5" t="s">
        <v>5</v>
      </c>
      <c r="B5">
        <f>B4-B3</f>
        <v>50</v>
      </c>
      <c r="C5" t="s">
        <v>12</v>
      </c>
      <c r="D5">
        <v>23</v>
      </c>
    </row>
    <row r="6" spans="1:17" x14ac:dyDescent="0.25">
      <c r="A6" t="s">
        <v>2</v>
      </c>
      <c r="B6" t="s">
        <v>4</v>
      </c>
      <c r="C6" t="s">
        <v>6</v>
      </c>
      <c r="D6" t="s">
        <v>8</v>
      </c>
      <c r="F6" t="s">
        <v>10</v>
      </c>
      <c r="G6" t="s">
        <v>13</v>
      </c>
    </row>
    <row r="7" spans="1:17" x14ac:dyDescent="0.25">
      <c r="A7">
        <v>0</v>
      </c>
      <c r="B7">
        <f>ROUND($B$2*POWER(2,-A7/17),2)</f>
        <v>2</v>
      </c>
      <c r="C7">
        <f>ROUND($B$3+$B$5*POWER(2,-A7/12),1)</f>
        <v>56</v>
      </c>
      <c r="D7">
        <f>B7+$D$2</f>
        <v>2.25</v>
      </c>
      <c r="E7">
        <f>IF(C7 &gt; $D$3, 0, B7+$D$2)</f>
        <v>2.25</v>
      </c>
      <c r="F7">
        <f t="shared" ref="F7:F67" si="0">IF(C7 &gt; $D$4, 0, F8+B7+$G$2)</f>
        <v>0</v>
      </c>
      <c r="K7" t="s">
        <v>14</v>
      </c>
      <c r="L7" t="s">
        <v>20</v>
      </c>
      <c r="M7" t="s">
        <v>16</v>
      </c>
      <c r="N7" t="s">
        <v>17</v>
      </c>
      <c r="O7" t="s">
        <v>18</v>
      </c>
      <c r="P7" t="s">
        <v>19</v>
      </c>
      <c r="Q7" t="s">
        <v>21</v>
      </c>
    </row>
    <row r="8" spans="1:17" x14ac:dyDescent="0.25">
      <c r="A8">
        <v>1</v>
      </c>
      <c r="B8">
        <f t="shared" ref="B8:B68" si="1">ROUND($B$2*POWER(2,-A8/17),2)</f>
        <v>1.92</v>
      </c>
      <c r="C8">
        <f t="shared" ref="C8:C68" si="2">ROUND($B$3+$B$5*POWER(2,-A8/12),1)</f>
        <v>53.2</v>
      </c>
      <c r="D8">
        <f>D7+B8+$D$2</f>
        <v>4.42</v>
      </c>
      <c r="E8">
        <f>IF(C8 &gt; $D$3, 0, IF(E7+B8+$D$2 &gt; $D$5, B8+$D$2, E7+B8+$D$2))</f>
        <v>4.42</v>
      </c>
      <c r="F8">
        <f t="shared" si="0"/>
        <v>0</v>
      </c>
      <c r="G8">
        <f>C8+C7</f>
        <v>109.2</v>
      </c>
      <c r="K8" t="s">
        <v>36</v>
      </c>
      <c r="L8">
        <v>22.37</v>
      </c>
      <c r="M8">
        <v>56</v>
      </c>
      <c r="N8">
        <v>32.5</v>
      </c>
      <c r="O8">
        <v>2</v>
      </c>
      <c r="P8">
        <v>1.28</v>
      </c>
      <c r="Q8">
        <v>12</v>
      </c>
    </row>
    <row r="9" spans="1:17" x14ac:dyDescent="0.25">
      <c r="A9">
        <v>2</v>
      </c>
      <c r="B9">
        <f t="shared" si="1"/>
        <v>1.84</v>
      </c>
      <c r="C9">
        <f t="shared" si="2"/>
        <v>50.5</v>
      </c>
      <c r="D9">
        <f t="shared" ref="D9:D68" si="3">D8+B9+$D$2</f>
        <v>6.51</v>
      </c>
      <c r="E9">
        <f t="shared" ref="E9:E68" si="4">IF(C9 &gt; $D$3, 0, IF(E8+B9+$D$2 &gt; $D$5, B9+$D$2, E8+B9+$D$2))</f>
        <v>6.51</v>
      </c>
      <c r="F9">
        <f t="shared" si="0"/>
        <v>0</v>
      </c>
      <c r="G9">
        <f t="shared" ref="G9:G44" si="5">C9+C8</f>
        <v>103.7</v>
      </c>
      <c r="K9" t="s">
        <v>37</v>
      </c>
      <c r="L9">
        <v>16</v>
      </c>
      <c r="M9">
        <v>31</v>
      </c>
      <c r="N9">
        <v>18.5</v>
      </c>
      <c r="O9">
        <v>1.23</v>
      </c>
      <c r="P9">
        <v>0.75</v>
      </c>
      <c r="Q9">
        <v>13</v>
      </c>
    </row>
    <row r="10" spans="1:17" x14ac:dyDescent="0.25">
      <c r="A10">
        <v>3</v>
      </c>
      <c r="B10">
        <f t="shared" si="1"/>
        <v>1.77</v>
      </c>
      <c r="C10">
        <f t="shared" si="2"/>
        <v>48</v>
      </c>
      <c r="D10">
        <f t="shared" si="3"/>
        <v>8.5299999999999994</v>
      </c>
      <c r="E10">
        <f t="shared" si="4"/>
        <v>8.5299999999999994</v>
      </c>
      <c r="F10">
        <f t="shared" si="0"/>
        <v>0</v>
      </c>
      <c r="G10">
        <f t="shared" si="5"/>
        <v>98.5</v>
      </c>
      <c r="K10" t="s">
        <v>38</v>
      </c>
      <c r="L10">
        <v>18</v>
      </c>
      <c r="M10">
        <v>17.8</v>
      </c>
      <c r="N10">
        <v>7.6</v>
      </c>
      <c r="O10">
        <v>0.72</v>
      </c>
      <c r="P10">
        <v>0.17</v>
      </c>
      <c r="Q10">
        <v>36</v>
      </c>
    </row>
    <row r="11" spans="1:17" x14ac:dyDescent="0.25">
      <c r="A11">
        <v>4</v>
      </c>
      <c r="B11">
        <f t="shared" si="1"/>
        <v>1.7</v>
      </c>
      <c r="C11">
        <f t="shared" si="2"/>
        <v>45.7</v>
      </c>
      <c r="D11">
        <f t="shared" si="3"/>
        <v>10.479999999999999</v>
      </c>
      <c r="E11">
        <f t="shared" si="4"/>
        <v>10.479999999999999</v>
      </c>
      <c r="F11">
        <f t="shared" si="0"/>
        <v>0</v>
      </c>
      <c r="G11">
        <f t="shared" si="5"/>
        <v>93.7</v>
      </c>
      <c r="K11" t="s">
        <v>24</v>
      </c>
      <c r="L11">
        <f>SUM(L8:L10)</f>
        <v>56.370000000000005</v>
      </c>
      <c r="Q11">
        <f>SUM(Q8:Q10)</f>
        <v>61</v>
      </c>
    </row>
    <row r="12" spans="1:17" x14ac:dyDescent="0.25">
      <c r="A12">
        <v>5</v>
      </c>
      <c r="B12">
        <f t="shared" si="1"/>
        <v>1.63</v>
      </c>
      <c r="C12">
        <f t="shared" si="2"/>
        <v>43.5</v>
      </c>
      <c r="D12">
        <f t="shared" si="3"/>
        <v>12.36</v>
      </c>
      <c r="E12">
        <f t="shared" si="4"/>
        <v>12.36</v>
      </c>
      <c r="F12">
        <f t="shared" si="0"/>
        <v>0</v>
      </c>
      <c r="G12">
        <f t="shared" si="5"/>
        <v>89.2</v>
      </c>
    </row>
    <row r="13" spans="1:17" x14ac:dyDescent="0.25">
      <c r="A13">
        <v>6</v>
      </c>
      <c r="B13">
        <f t="shared" si="1"/>
        <v>1.57</v>
      </c>
      <c r="C13">
        <f t="shared" si="2"/>
        <v>41.4</v>
      </c>
      <c r="D13">
        <f t="shared" si="3"/>
        <v>14.18</v>
      </c>
      <c r="E13">
        <f t="shared" si="4"/>
        <v>14.18</v>
      </c>
      <c r="F13">
        <f t="shared" si="0"/>
        <v>0</v>
      </c>
      <c r="G13">
        <f t="shared" si="5"/>
        <v>84.9</v>
      </c>
    </row>
    <row r="14" spans="1:17" x14ac:dyDescent="0.25">
      <c r="A14">
        <v>7</v>
      </c>
      <c r="B14">
        <f t="shared" si="1"/>
        <v>1.5</v>
      </c>
      <c r="C14">
        <f t="shared" si="2"/>
        <v>39.4</v>
      </c>
      <c r="D14">
        <f t="shared" si="3"/>
        <v>15.93</v>
      </c>
      <c r="E14">
        <f t="shared" si="4"/>
        <v>15.93</v>
      </c>
      <c r="F14">
        <f t="shared" si="0"/>
        <v>0</v>
      </c>
      <c r="G14">
        <f t="shared" si="5"/>
        <v>80.8</v>
      </c>
    </row>
    <row r="15" spans="1:17" x14ac:dyDescent="0.25">
      <c r="A15">
        <v>8</v>
      </c>
      <c r="B15">
        <f t="shared" si="1"/>
        <v>1.44</v>
      </c>
      <c r="C15">
        <f t="shared" si="2"/>
        <v>37.5</v>
      </c>
      <c r="D15">
        <f t="shared" si="3"/>
        <v>17.62</v>
      </c>
      <c r="E15">
        <f t="shared" si="4"/>
        <v>17.62</v>
      </c>
      <c r="F15">
        <f t="shared" si="0"/>
        <v>0</v>
      </c>
      <c r="G15">
        <f t="shared" si="5"/>
        <v>76.900000000000006</v>
      </c>
    </row>
    <row r="16" spans="1:17" x14ac:dyDescent="0.25">
      <c r="A16">
        <v>9</v>
      </c>
      <c r="B16">
        <f t="shared" si="1"/>
        <v>1.39</v>
      </c>
      <c r="C16">
        <f t="shared" si="2"/>
        <v>35.700000000000003</v>
      </c>
      <c r="D16">
        <f t="shared" si="3"/>
        <v>19.260000000000002</v>
      </c>
      <c r="E16">
        <f t="shared" si="4"/>
        <v>19.260000000000002</v>
      </c>
      <c r="F16">
        <f t="shared" si="0"/>
        <v>0</v>
      </c>
      <c r="G16">
        <f t="shared" si="5"/>
        <v>73.2</v>
      </c>
    </row>
    <row r="17" spans="1:7" x14ac:dyDescent="0.25">
      <c r="A17">
        <v>10</v>
      </c>
      <c r="B17">
        <f t="shared" si="1"/>
        <v>1.33</v>
      </c>
      <c r="C17">
        <f t="shared" si="2"/>
        <v>34.1</v>
      </c>
      <c r="D17">
        <f t="shared" si="3"/>
        <v>20.840000000000003</v>
      </c>
      <c r="E17">
        <f t="shared" si="4"/>
        <v>20.840000000000003</v>
      </c>
      <c r="F17">
        <f t="shared" si="0"/>
        <v>0</v>
      </c>
      <c r="G17">
        <f t="shared" si="5"/>
        <v>69.800000000000011</v>
      </c>
    </row>
    <row r="18" spans="1:7" x14ac:dyDescent="0.25">
      <c r="A18">
        <v>11</v>
      </c>
      <c r="B18">
        <f t="shared" si="1"/>
        <v>1.28</v>
      </c>
      <c r="C18">
        <f t="shared" si="2"/>
        <v>32.5</v>
      </c>
      <c r="D18">
        <f t="shared" si="3"/>
        <v>22.370000000000005</v>
      </c>
      <c r="E18">
        <f t="shared" si="4"/>
        <v>22.370000000000005</v>
      </c>
      <c r="F18">
        <f t="shared" si="0"/>
        <v>0</v>
      </c>
      <c r="G18">
        <f t="shared" si="5"/>
        <v>66.599999999999994</v>
      </c>
    </row>
    <row r="19" spans="1:7" x14ac:dyDescent="0.25">
      <c r="A19">
        <v>12</v>
      </c>
      <c r="B19">
        <f t="shared" si="1"/>
        <v>1.23</v>
      </c>
      <c r="C19">
        <f t="shared" si="2"/>
        <v>31</v>
      </c>
      <c r="D19">
        <f t="shared" si="3"/>
        <v>23.850000000000005</v>
      </c>
      <c r="E19">
        <f t="shared" si="4"/>
        <v>1.48</v>
      </c>
      <c r="F19">
        <f t="shared" si="0"/>
        <v>0</v>
      </c>
      <c r="G19">
        <f t="shared" si="5"/>
        <v>63.5</v>
      </c>
    </row>
    <row r="20" spans="1:7" x14ac:dyDescent="0.25">
      <c r="A20">
        <v>13</v>
      </c>
      <c r="B20">
        <f t="shared" si="1"/>
        <v>1.18</v>
      </c>
      <c r="C20">
        <f t="shared" si="2"/>
        <v>29.6</v>
      </c>
      <c r="D20">
        <f t="shared" si="3"/>
        <v>25.280000000000005</v>
      </c>
      <c r="E20">
        <f t="shared" si="4"/>
        <v>2.91</v>
      </c>
      <c r="F20">
        <f t="shared" si="0"/>
        <v>0</v>
      </c>
      <c r="G20">
        <f t="shared" si="5"/>
        <v>60.6</v>
      </c>
    </row>
    <row r="21" spans="1:7" x14ac:dyDescent="0.25">
      <c r="A21">
        <v>14</v>
      </c>
      <c r="B21">
        <f t="shared" si="1"/>
        <v>1.1299999999999999</v>
      </c>
      <c r="C21">
        <f t="shared" si="2"/>
        <v>28.3</v>
      </c>
      <c r="D21">
        <f t="shared" si="3"/>
        <v>26.660000000000004</v>
      </c>
      <c r="E21">
        <f t="shared" si="4"/>
        <v>4.29</v>
      </c>
      <c r="F21">
        <f t="shared" si="0"/>
        <v>0</v>
      </c>
      <c r="G21">
        <f t="shared" si="5"/>
        <v>57.900000000000006</v>
      </c>
    </row>
    <row r="22" spans="1:7" x14ac:dyDescent="0.25">
      <c r="A22">
        <v>15</v>
      </c>
      <c r="B22">
        <f t="shared" si="1"/>
        <v>1.08</v>
      </c>
      <c r="C22">
        <f t="shared" si="2"/>
        <v>27</v>
      </c>
      <c r="D22">
        <f t="shared" si="3"/>
        <v>27.990000000000002</v>
      </c>
      <c r="E22">
        <f t="shared" si="4"/>
        <v>5.62</v>
      </c>
      <c r="F22">
        <f t="shared" si="0"/>
        <v>0</v>
      </c>
      <c r="G22">
        <f t="shared" si="5"/>
        <v>55.3</v>
      </c>
    </row>
    <row r="23" spans="1:7" x14ac:dyDescent="0.25">
      <c r="A23">
        <v>16</v>
      </c>
      <c r="B23">
        <f t="shared" si="1"/>
        <v>1.04</v>
      </c>
      <c r="C23">
        <f t="shared" si="2"/>
        <v>25.8</v>
      </c>
      <c r="D23">
        <f t="shared" si="3"/>
        <v>29.28</v>
      </c>
      <c r="E23">
        <f t="shared" si="4"/>
        <v>6.91</v>
      </c>
      <c r="F23">
        <f t="shared" si="0"/>
        <v>0</v>
      </c>
      <c r="G23">
        <f t="shared" si="5"/>
        <v>52.8</v>
      </c>
    </row>
    <row r="24" spans="1:7" x14ac:dyDescent="0.25">
      <c r="A24">
        <v>17</v>
      </c>
      <c r="B24">
        <f t="shared" si="1"/>
        <v>1</v>
      </c>
      <c r="C24">
        <f t="shared" si="2"/>
        <v>24.7</v>
      </c>
      <c r="D24">
        <f t="shared" si="3"/>
        <v>30.53</v>
      </c>
      <c r="E24">
        <f t="shared" si="4"/>
        <v>8.16</v>
      </c>
      <c r="F24">
        <f t="shared" si="0"/>
        <v>0</v>
      </c>
      <c r="G24">
        <f t="shared" si="5"/>
        <v>50.5</v>
      </c>
    </row>
    <row r="25" spans="1:7" x14ac:dyDescent="0.25">
      <c r="A25">
        <v>18</v>
      </c>
      <c r="B25">
        <f t="shared" si="1"/>
        <v>0.96</v>
      </c>
      <c r="C25">
        <f t="shared" si="2"/>
        <v>23.7</v>
      </c>
      <c r="D25">
        <f t="shared" si="3"/>
        <v>31.740000000000002</v>
      </c>
      <c r="E25">
        <f t="shared" si="4"/>
        <v>9.370000000000001</v>
      </c>
      <c r="F25">
        <f t="shared" si="0"/>
        <v>0</v>
      </c>
      <c r="G25">
        <f t="shared" si="5"/>
        <v>48.4</v>
      </c>
    </row>
    <row r="26" spans="1:7" x14ac:dyDescent="0.25">
      <c r="A26">
        <v>19</v>
      </c>
      <c r="B26">
        <f t="shared" si="1"/>
        <v>0.92</v>
      </c>
      <c r="C26">
        <f t="shared" si="2"/>
        <v>22.7</v>
      </c>
      <c r="D26">
        <f t="shared" si="3"/>
        <v>32.910000000000004</v>
      </c>
      <c r="E26">
        <f t="shared" si="4"/>
        <v>10.540000000000001</v>
      </c>
      <c r="F26">
        <f t="shared" si="0"/>
        <v>0</v>
      </c>
      <c r="G26">
        <f t="shared" si="5"/>
        <v>46.4</v>
      </c>
    </row>
    <row r="27" spans="1:7" x14ac:dyDescent="0.25">
      <c r="A27">
        <v>20</v>
      </c>
      <c r="B27">
        <f t="shared" si="1"/>
        <v>0.88</v>
      </c>
      <c r="C27">
        <f t="shared" si="2"/>
        <v>21.7</v>
      </c>
      <c r="D27">
        <f t="shared" si="3"/>
        <v>34.040000000000006</v>
      </c>
      <c r="E27">
        <f t="shared" si="4"/>
        <v>11.670000000000002</v>
      </c>
      <c r="F27">
        <f t="shared" si="0"/>
        <v>0</v>
      </c>
      <c r="G27">
        <f t="shared" si="5"/>
        <v>44.4</v>
      </c>
    </row>
    <row r="28" spans="1:7" x14ac:dyDescent="0.25">
      <c r="A28">
        <v>21</v>
      </c>
      <c r="B28">
        <f t="shared" si="1"/>
        <v>0.85</v>
      </c>
      <c r="C28">
        <f t="shared" si="2"/>
        <v>20.9</v>
      </c>
      <c r="D28">
        <f t="shared" si="3"/>
        <v>35.140000000000008</v>
      </c>
      <c r="E28">
        <f t="shared" si="4"/>
        <v>12.770000000000001</v>
      </c>
      <c r="F28">
        <f t="shared" si="0"/>
        <v>0</v>
      </c>
      <c r="G28">
        <f t="shared" si="5"/>
        <v>42.599999999999994</v>
      </c>
    </row>
    <row r="29" spans="1:7" x14ac:dyDescent="0.25">
      <c r="A29">
        <v>22</v>
      </c>
      <c r="B29">
        <f t="shared" si="1"/>
        <v>0.82</v>
      </c>
      <c r="C29">
        <f t="shared" si="2"/>
        <v>20</v>
      </c>
      <c r="D29">
        <f t="shared" si="3"/>
        <v>36.210000000000008</v>
      </c>
      <c r="E29">
        <f t="shared" si="4"/>
        <v>13.840000000000002</v>
      </c>
      <c r="F29">
        <f t="shared" si="0"/>
        <v>0</v>
      </c>
      <c r="G29">
        <f t="shared" si="5"/>
        <v>40.9</v>
      </c>
    </row>
    <row r="30" spans="1:7" x14ac:dyDescent="0.25">
      <c r="A30">
        <v>23</v>
      </c>
      <c r="B30">
        <f t="shared" si="1"/>
        <v>0.78</v>
      </c>
      <c r="C30">
        <f t="shared" si="2"/>
        <v>19.2</v>
      </c>
      <c r="D30">
        <f t="shared" si="3"/>
        <v>37.240000000000009</v>
      </c>
      <c r="E30">
        <f t="shared" si="4"/>
        <v>14.870000000000001</v>
      </c>
      <c r="F30">
        <f t="shared" si="0"/>
        <v>0</v>
      </c>
      <c r="G30">
        <f t="shared" si="5"/>
        <v>39.200000000000003</v>
      </c>
    </row>
    <row r="31" spans="1:7" x14ac:dyDescent="0.25">
      <c r="A31">
        <v>24</v>
      </c>
      <c r="B31">
        <f t="shared" si="1"/>
        <v>0.75</v>
      </c>
      <c r="C31">
        <f t="shared" si="2"/>
        <v>18.5</v>
      </c>
      <c r="D31">
        <f t="shared" si="3"/>
        <v>38.240000000000009</v>
      </c>
      <c r="E31">
        <f t="shared" si="4"/>
        <v>15.870000000000001</v>
      </c>
      <c r="F31">
        <f t="shared" si="0"/>
        <v>0</v>
      </c>
      <c r="G31">
        <f t="shared" si="5"/>
        <v>37.700000000000003</v>
      </c>
    </row>
    <row r="32" spans="1:7" x14ac:dyDescent="0.25">
      <c r="A32">
        <v>25</v>
      </c>
      <c r="B32">
        <f t="shared" si="1"/>
        <v>0.72</v>
      </c>
      <c r="C32">
        <f t="shared" si="2"/>
        <v>17.8</v>
      </c>
      <c r="D32">
        <f t="shared" si="3"/>
        <v>39.210000000000008</v>
      </c>
      <c r="E32">
        <f t="shared" si="4"/>
        <v>16.84</v>
      </c>
      <c r="F32">
        <f t="shared" si="0"/>
        <v>17.489999999999995</v>
      </c>
      <c r="G32">
        <f t="shared" si="5"/>
        <v>36.299999999999997</v>
      </c>
    </row>
    <row r="33" spans="1:7" x14ac:dyDescent="0.25">
      <c r="A33">
        <v>26</v>
      </c>
      <c r="B33">
        <f t="shared" si="1"/>
        <v>0.69</v>
      </c>
      <c r="C33">
        <f t="shared" si="2"/>
        <v>17.100000000000001</v>
      </c>
      <c r="D33">
        <f t="shared" si="3"/>
        <v>40.150000000000006</v>
      </c>
      <c r="E33">
        <f t="shared" si="4"/>
        <v>17.78</v>
      </c>
      <c r="F33">
        <f t="shared" si="0"/>
        <v>16.669999999999995</v>
      </c>
      <c r="G33">
        <f t="shared" si="5"/>
        <v>34.900000000000006</v>
      </c>
    </row>
    <row r="34" spans="1:7" x14ac:dyDescent="0.25">
      <c r="A34">
        <v>27</v>
      </c>
      <c r="B34">
        <f t="shared" si="1"/>
        <v>0.67</v>
      </c>
      <c r="C34">
        <f t="shared" si="2"/>
        <v>16.5</v>
      </c>
      <c r="D34">
        <f t="shared" si="3"/>
        <v>41.070000000000007</v>
      </c>
      <c r="E34">
        <f t="shared" si="4"/>
        <v>18.700000000000003</v>
      </c>
      <c r="F34">
        <f t="shared" si="0"/>
        <v>15.879999999999994</v>
      </c>
      <c r="G34">
        <f t="shared" si="5"/>
        <v>33.6</v>
      </c>
    </row>
    <row r="35" spans="1:7" x14ac:dyDescent="0.25">
      <c r="A35">
        <v>28</v>
      </c>
      <c r="B35">
        <f t="shared" si="1"/>
        <v>0.64</v>
      </c>
      <c r="C35">
        <f t="shared" si="2"/>
        <v>15.9</v>
      </c>
      <c r="D35">
        <f t="shared" si="3"/>
        <v>41.960000000000008</v>
      </c>
      <c r="E35">
        <f t="shared" si="4"/>
        <v>19.590000000000003</v>
      </c>
      <c r="F35">
        <f t="shared" si="0"/>
        <v>15.109999999999994</v>
      </c>
      <c r="G35">
        <f t="shared" si="5"/>
        <v>32.4</v>
      </c>
    </row>
    <row r="36" spans="1:7" x14ac:dyDescent="0.25">
      <c r="A36">
        <v>29</v>
      </c>
      <c r="B36">
        <f t="shared" si="1"/>
        <v>0.61</v>
      </c>
      <c r="C36">
        <f t="shared" si="2"/>
        <v>15.4</v>
      </c>
      <c r="D36">
        <f t="shared" si="3"/>
        <v>42.820000000000007</v>
      </c>
      <c r="E36">
        <f t="shared" si="4"/>
        <v>20.450000000000003</v>
      </c>
      <c r="F36">
        <f t="shared" si="0"/>
        <v>14.369999999999994</v>
      </c>
      <c r="G36">
        <f t="shared" si="5"/>
        <v>31.3</v>
      </c>
    </row>
    <row r="37" spans="1:7" x14ac:dyDescent="0.25">
      <c r="A37">
        <v>30</v>
      </c>
      <c r="B37">
        <f t="shared" si="1"/>
        <v>0.59</v>
      </c>
      <c r="C37">
        <f t="shared" si="2"/>
        <v>14.8</v>
      </c>
      <c r="D37">
        <f t="shared" si="3"/>
        <v>43.660000000000011</v>
      </c>
      <c r="E37">
        <f t="shared" si="4"/>
        <v>21.290000000000003</v>
      </c>
      <c r="F37">
        <f t="shared" si="0"/>
        <v>13.659999999999995</v>
      </c>
      <c r="G37">
        <f t="shared" si="5"/>
        <v>30.200000000000003</v>
      </c>
    </row>
    <row r="38" spans="1:7" x14ac:dyDescent="0.25">
      <c r="A38">
        <v>31</v>
      </c>
      <c r="B38">
        <f t="shared" si="1"/>
        <v>0.56999999999999995</v>
      </c>
      <c r="C38">
        <f t="shared" si="2"/>
        <v>14.3</v>
      </c>
      <c r="D38">
        <f t="shared" si="3"/>
        <v>44.480000000000011</v>
      </c>
      <c r="E38">
        <f t="shared" si="4"/>
        <v>22.110000000000003</v>
      </c>
      <c r="F38">
        <f t="shared" si="0"/>
        <v>12.969999999999995</v>
      </c>
      <c r="G38">
        <f t="shared" si="5"/>
        <v>29.1</v>
      </c>
    </row>
    <row r="39" spans="1:7" x14ac:dyDescent="0.25">
      <c r="A39">
        <v>32</v>
      </c>
      <c r="B39">
        <f t="shared" si="1"/>
        <v>0.54</v>
      </c>
      <c r="C39">
        <f t="shared" si="2"/>
        <v>13.9</v>
      </c>
      <c r="D39">
        <f t="shared" si="3"/>
        <v>45.27000000000001</v>
      </c>
      <c r="E39">
        <f t="shared" si="4"/>
        <v>22.900000000000002</v>
      </c>
      <c r="F39">
        <f t="shared" si="0"/>
        <v>12.299999999999995</v>
      </c>
      <c r="G39">
        <f t="shared" si="5"/>
        <v>28.200000000000003</v>
      </c>
    </row>
    <row r="40" spans="1:7" x14ac:dyDescent="0.25">
      <c r="A40">
        <v>33</v>
      </c>
      <c r="B40">
        <f t="shared" si="1"/>
        <v>0.52</v>
      </c>
      <c r="C40">
        <f t="shared" si="2"/>
        <v>13.4</v>
      </c>
      <c r="D40">
        <f t="shared" si="3"/>
        <v>46.040000000000013</v>
      </c>
      <c r="E40">
        <f t="shared" si="4"/>
        <v>0.77</v>
      </c>
      <c r="F40">
        <f t="shared" si="0"/>
        <v>11.659999999999995</v>
      </c>
      <c r="G40">
        <f t="shared" si="5"/>
        <v>27.3</v>
      </c>
    </row>
    <row r="41" spans="1:7" x14ac:dyDescent="0.25">
      <c r="A41">
        <v>34</v>
      </c>
      <c r="B41">
        <f t="shared" si="1"/>
        <v>0.5</v>
      </c>
      <c r="C41">
        <f t="shared" si="2"/>
        <v>13</v>
      </c>
      <c r="D41">
        <f t="shared" si="3"/>
        <v>46.790000000000013</v>
      </c>
      <c r="E41">
        <f t="shared" si="4"/>
        <v>1.52</v>
      </c>
      <c r="F41">
        <f t="shared" si="0"/>
        <v>11.039999999999996</v>
      </c>
      <c r="G41">
        <f t="shared" si="5"/>
        <v>26.4</v>
      </c>
    </row>
    <row r="42" spans="1:7" x14ac:dyDescent="0.25">
      <c r="A42">
        <v>35</v>
      </c>
      <c r="B42">
        <f t="shared" si="1"/>
        <v>0.48</v>
      </c>
      <c r="C42">
        <f t="shared" si="2"/>
        <v>12.6</v>
      </c>
      <c r="D42">
        <f t="shared" si="3"/>
        <v>47.52000000000001</v>
      </c>
      <c r="E42">
        <f t="shared" si="4"/>
        <v>2.25</v>
      </c>
      <c r="F42">
        <f t="shared" si="0"/>
        <v>10.439999999999996</v>
      </c>
      <c r="G42">
        <f t="shared" si="5"/>
        <v>25.6</v>
      </c>
    </row>
    <row r="43" spans="1:7" x14ac:dyDescent="0.25">
      <c r="A43">
        <v>36</v>
      </c>
      <c r="B43">
        <f t="shared" si="1"/>
        <v>0.46</v>
      </c>
      <c r="C43">
        <f t="shared" si="2"/>
        <v>12.3</v>
      </c>
      <c r="D43">
        <f t="shared" si="3"/>
        <v>48.230000000000011</v>
      </c>
      <c r="E43">
        <f t="shared" si="4"/>
        <v>2.96</v>
      </c>
      <c r="F43">
        <f t="shared" si="0"/>
        <v>9.8599999999999959</v>
      </c>
      <c r="G43">
        <f t="shared" si="5"/>
        <v>24.9</v>
      </c>
    </row>
    <row r="44" spans="1:7" x14ac:dyDescent="0.25">
      <c r="A44">
        <v>37</v>
      </c>
      <c r="B44">
        <f t="shared" si="1"/>
        <v>0.44</v>
      </c>
      <c r="C44">
        <f t="shared" si="2"/>
        <v>11.9</v>
      </c>
      <c r="D44">
        <f t="shared" si="3"/>
        <v>48.920000000000009</v>
      </c>
      <c r="E44">
        <f t="shared" si="4"/>
        <v>3.65</v>
      </c>
      <c r="F44">
        <f t="shared" si="0"/>
        <v>9.2999999999999954</v>
      </c>
      <c r="G44">
        <f t="shared" si="5"/>
        <v>24.200000000000003</v>
      </c>
    </row>
    <row r="45" spans="1:7" x14ac:dyDescent="0.25">
      <c r="A45">
        <v>38</v>
      </c>
      <c r="B45">
        <f t="shared" si="1"/>
        <v>0.42</v>
      </c>
      <c r="C45">
        <f t="shared" si="2"/>
        <v>11.6</v>
      </c>
      <c r="D45">
        <f t="shared" si="3"/>
        <v>49.590000000000011</v>
      </c>
      <c r="E45">
        <f t="shared" si="4"/>
        <v>4.32</v>
      </c>
      <c r="F45">
        <f t="shared" si="0"/>
        <v>8.7599999999999962</v>
      </c>
    </row>
    <row r="46" spans="1:7" x14ac:dyDescent="0.25">
      <c r="A46">
        <v>39</v>
      </c>
      <c r="B46">
        <f t="shared" si="1"/>
        <v>0.41</v>
      </c>
      <c r="C46">
        <f t="shared" si="2"/>
        <v>11.3</v>
      </c>
      <c r="D46">
        <f t="shared" si="3"/>
        <v>50.250000000000007</v>
      </c>
      <c r="E46">
        <f t="shared" si="4"/>
        <v>4.9800000000000004</v>
      </c>
      <c r="F46">
        <f t="shared" si="0"/>
        <v>8.2399999999999967</v>
      </c>
    </row>
    <row r="47" spans="1:7" x14ac:dyDescent="0.25">
      <c r="A47">
        <v>40</v>
      </c>
      <c r="B47">
        <f t="shared" si="1"/>
        <v>0.39</v>
      </c>
      <c r="C47">
        <f t="shared" si="2"/>
        <v>11</v>
      </c>
      <c r="D47">
        <f t="shared" si="3"/>
        <v>50.890000000000008</v>
      </c>
      <c r="E47">
        <f t="shared" si="4"/>
        <v>5.62</v>
      </c>
      <c r="F47">
        <f t="shared" si="0"/>
        <v>7.7299999999999969</v>
      </c>
    </row>
    <row r="48" spans="1:7" x14ac:dyDescent="0.25">
      <c r="A48">
        <v>41</v>
      </c>
      <c r="B48">
        <f t="shared" si="1"/>
        <v>0.38</v>
      </c>
      <c r="C48">
        <f t="shared" si="2"/>
        <v>10.7</v>
      </c>
      <c r="D48">
        <f t="shared" si="3"/>
        <v>51.52000000000001</v>
      </c>
      <c r="E48">
        <f t="shared" si="4"/>
        <v>6.25</v>
      </c>
      <c r="F48">
        <f t="shared" si="0"/>
        <v>7.2399999999999975</v>
      </c>
    </row>
    <row r="49" spans="1:6" x14ac:dyDescent="0.25">
      <c r="A49">
        <v>42</v>
      </c>
      <c r="B49">
        <f t="shared" si="1"/>
        <v>0.36</v>
      </c>
      <c r="C49">
        <f t="shared" si="2"/>
        <v>10.4</v>
      </c>
      <c r="D49">
        <f t="shared" si="3"/>
        <v>52.13000000000001</v>
      </c>
      <c r="E49">
        <f t="shared" si="4"/>
        <v>6.86</v>
      </c>
      <c r="F49">
        <f t="shared" si="0"/>
        <v>6.759999999999998</v>
      </c>
    </row>
    <row r="50" spans="1:6" x14ac:dyDescent="0.25">
      <c r="A50">
        <v>43</v>
      </c>
      <c r="B50">
        <f t="shared" si="1"/>
        <v>0.35</v>
      </c>
      <c r="C50">
        <f t="shared" si="2"/>
        <v>10.199999999999999</v>
      </c>
      <c r="D50">
        <f t="shared" si="3"/>
        <v>52.730000000000011</v>
      </c>
      <c r="E50">
        <f t="shared" si="4"/>
        <v>7.46</v>
      </c>
      <c r="F50">
        <f t="shared" si="0"/>
        <v>6.299999999999998</v>
      </c>
    </row>
    <row r="51" spans="1:6" x14ac:dyDescent="0.25">
      <c r="A51">
        <v>44</v>
      </c>
      <c r="B51">
        <f t="shared" si="1"/>
        <v>0.33</v>
      </c>
      <c r="C51">
        <f t="shared" si="2"/>
        <v>9.9</v>
      </c>
      <c r="D51">
        <f t="shared" si="3"/>
        <v>53.310000000000009</v>
      </c>
      <c r="E51">
        <f t="shared" si="4"/>
        <v>8.0399999999999991</v>
      </c>
      <c r="F51">
        <f t="shared" si="0"/>
        <v>5.8499999999999988</v>
      </c>
    </row>
    <row r="52" spans="1:6" x14ac:dyDescent="0.25">
      <c r="A52">
        <v>45</v>
      </c>
      <c r="B52">
        <f t="shared" si="1"/>
        <v>0.32</v>
      </c>
      <c r="C52">
        <f t="shared" si="2"/>
        <v>9.6999999999999993</v>
      </c>
      <c r="D52">
        <f t="shared" si="3"/>
        <v>53.88000000000001</v>
      </c>
      <c r="E52">
        <f t="shared" si="4"/>
        <v>8.61</v>
      </c>
      <c r="F52">
        <f t="shared" si="0"/>
        <v>5.419999999999999</v>
      </c>
    </row>
    <row r="53" spans="1:6" x14ac:dyDescent="0.25">
      <c r="A53">
        <v>46</v>
      </c>
      <c r="B53">
        <f t="shared" si="1"/>
        <v>0.31</v>
      </c>
      <c r="C53">
        <f t="shared" si="2"/>
        <v>9.5</v>
      </c>
      <c r="D53">
        <f t="shared" si="3"/>
        <v>54.440000000000012</v>
      </c>
      <c r="E53">
        <f t="shared" si="4"/>
        <v>9.17</v>
      </c>
      <c r="F53">
        <f t="shared" si="0"/>
        <v>4.9999999999999991</v>
      </c>
    </row>
    <row r="54" spans="1:6" x14ac:dyDescent="0.25">
      <c r="A54">
        <v>47</v>
      </c>
      <c r="B54">
        <f t="shared" si="1"/>
        <v>0.28999999999999998</v>
      </c>
      <c r="C54">
        <f t="shared" si="2"/>
        <v>9.3000000000000007</v>
      </c>
      <c r="D54">
        <f t="shared" si="3"/>
        <v>54.980000000000011</v>
      </c>
      <c r="E54">
        <f t="shared" si="4"/>
        <v>9.7099999999999991</v>
      </c>
      <c r="F54">
        <f t="shared" si="0"/>
        <v>4.59</v>
      </c>
    </row>
    <row r="55" spans="1:6" x14ac:dyDescent="0.25">
      <c r="A55">
        <v>48</v>
      </c>
      <c r="B55">
        <f t="shared" si="1"/>
        <v>0.28000000000000003</v>
      </c>
      <c r="C55">
        <f t="shared" si="2"/>
        <v>9.1</v>
      </c>
      <c r="D55">
        <f t="shared" si="3"/>
        <v>55.510000000000012</v>
      </c>
      <c r="E55">
        <f t="shared" si="4"/>
        <v>10.239999999999998</v>
      </c>
      <c r="F55">
        <f t="shared" si="0"/>
        <v>4.2</v>
      </c>
    </row>
    <row r="56" spans="1:6" x14ac:dyDescent="0.25">
      <c r="A56">
        <v>49</v>
      </c>
      <c r="B56">
        <f t="shared" si="1"/>
        <v>0.27</v>
      </c>
      <c r="C56">
        <f t="shared" si="2"/>
        <v>8.9</v>
      </c>
      <c r="D56">
        <f t="shared" si="3"/>
        <v>56.030000000000015</v>
      </c>
      <c r="E56">
        <f t="shared" si="4"/>
        <v>10.759999999999998</v>
      </c>
      <c r="F56">
        <f t="shared" si="0"/>
        <v>3.8200000000000007</v>
      </c>
    </row>
    <row r="57" spans="1:6" x14ac:dyDescent="0.25">
      <c r="A57">
        <v>50</v>
      </c>
      <c r="B57">
        <f t="shared" si="1"/>
        <v>0.26</v>
      </c>
      <c r="C57">
        <f t="shared" si="2"/>
        <v>8.8000000000000007</v>
      </c>
      <c r="D57">
        <f t="shared" si="3"/>
        <v>56.540000000000013</v>
      </c>
      <c r="E57">
        <f t="shared" si="4"/>
        <v>11.269999999999998</v>
      </c>
      <c r="F57">
        <f t="shared" si="0"/>
        <v>3.4500000000000006</v>
      </c>
    </row>
    <row r="58" spans="1:6" x14ac:dyDescent="0.25">
      <c r="A58">
        <v>51</v>
      </c>
      <c r="B58">
        <f t="shared" si="1"/>
        <v>0.25</v>
      </c>
      <c r="C58">
        <f t="shared" si="2"/>
        <v>8.6</v>
      </c>
      <c r="D58">
        <f t="shared" si="3"/>
        <v>57.040000000000013</v>
      </c>
      <c r="E58">
        <f t="shared" si="4"/>
        <v>11.769999999999998</v>
      </c>
      <c r="F58">
        <f t="shared" si="0"/>
        <v>3.0900000000000007</v>
      </c>
    </row>
    <row r="59" spans="1:6" x14ac:dyDescent="0.25">
      <c r="A59">
        <v>52</v>
      </c>
      <c r="B59">
        <f t="shared" si="1"/>
        <v>0.24</v>
      </c>
      <c r="C59">
        <f t="shared" si="2"/>
        <v>8.5</v>
      </c>
      <c r="D59">
        <f t="shared" si="3"/>
        <v>57.530000000000015</v>
      </c>
      <c r="E59">
        <f t="shared" si="4"/>
        <v>12.259999999999998</v>
      </c>
      <c r="F59">
        <f t="shared" si="0"/>
        <v>2.7400000000000007</v>
      </c>
    </row>
    <row r="60" spans="1:6" x14ac:dyDescent="0.25">
      <c r="A60">
        <v>53</v>
      </c>
      <c r="B60">
        <f t="shared" si="1"/>
        <v>0.23</v>
      </c>
      <c r="C60">
        <f t="shared" si="2"/>
        <v>8.3000000000000007</v>
      </c>
      <c r="D60">
        <f t="shared" si="3"/>
        <v>58.010000000000012</v>
      </c>
      <c r="E60">
        <f t="shared" si="4"/>
        <v>12.739999999999998</v>
      </c>
      <c r="F60">
        <f t="shared" si="0"/>
        <v>2.4000000000000004</v>
      </c>
    </row>
    <row r="61" spans="1:6" x14ac:dyDescent="0.25">
      <c r="A61">
        <v>54</v>
      </c>
      <c r="B61">
        <f t="shared" si="1"/>
        <v>0.22</v>
      </c>
      <c r="C61">
        <f t="shared" si="2"/>
        <v>8.1999999999999993</v>
      </c>
      <c r="D61">
        <f t="shared" si="3"/>
        <v>58.480000000000011</v>
      </c>
      <c r="E61">
        <f t="shared" si="4"/>
        <v>13.209999999999999</v>
      </c>
      <c r="F61">
        <f t="shared" si="0"/>
        <v>2.0700000000000003</v>
      </c>
    </row>
    <row r="62" spans="1:6" x14ac:dyDescent="0.25">
      <c r="A62">
        <v>55</v>
      </c>
      <c r="B62">
        <f t="shared" si="1"/>
        <v>0.21</v>
      </c>
      <c r="C62">
        <f t="shared" si="2"/>
        <v>8.1</v>
      </c>
      <c r="D62">
        <f t="shared" si="3"/>
        <v>58.940000000000012</v>
      </c>
      <c r="E62">
        <f t="shared" si="4"/>
        <v>13.67</v>
      </c>
      <c r="F62">
        <f t="shared" si="0"/>
        <v>1.7500000000000002</v>
      </c>
    </row>
    <row r="63" spans="1:6" x14ac:dyDescent="0.25">
      <c r="A63">
        <v>56</v>
      </c>
      <c r="B63">
        <f t="shared" si="1"/>
        <v>0.2</v>
      </c>
      <c r="C63">
        <f t="shared" si="2"/>
        <v>8</v>
      </c>
      <c r="D63">
        <f t="shared" si="3"/>
        <v>59.390000000000015</v>
      </c>
      <c r="E63">
        <f t="shared" si="4"/>
        <v>14.12</v>
      </c>
      <c r="F63">
        <f t="shared" si="0"/>
        <v>1.4400000000000002</v>
      </c>
    </row>
    <row r="64" spans="1:6" x14ac:dyDescent="0.25">
      <c r="A64">
        <v>57</v>
      </c>
      <c r="B64">
        <f t="shared" si="1"/>
        <v>0.2</v>
      </c>
      <c r="C64">
        <f t="shared" si="2"/>
        <v>7.9</v>
      </c>
      <c r="D64">
        <f t="shared" si="3"/>
        <v>59.840000000000018</v>
      </c>
      <c r="E64">
        <f t="shared" si="4"/>
        <v>14.569999999999999</v>
      </c>
      <c r="F64">
        <f t="shared" si="0"/>
        <v>1.1400000000000001</v>
      </c>
    </row>
    <row r="65" spans="1:6" x14ac:dyDescent="0.25">
      <c r="A65">
        <v>58</v>
      </c>
      <c r="B65">
        <f t="shared" si="1"/>
        <v>0.19</v>
      </c>
      <c r="C65">
        <f t="shared" si="2"/>
        <v>7.8</v>
      </c>
      <c r="D65">
        <f t="shared" si="3"/>
        <v>60.280000000000015</v>
      </c>
      <c r="E65">
        <f t="shared" si="4"/>
        <v>15.009999999999998</v>
      </c>
      <c r="F65">
        <f t="shared" si="0"/>
        <v>0.84</v>
      </c>
    </row>
    <row r="66" spans="1:6" x14ac:dyDescent="0.25">
      <c r="A66">
        <v>59</v>
      </c>
      <c r="B66">
        <f t="shared" si="1"/>
        <v>0.18</v>
      </c>
      <c r="C66">
        <f t="shared" si="2"/>
        <v>7.7</v>
      </c>
      <c r="D66">
        <f t="shared" si="3"/>
        <v>60.710000000000015</v>
      </c>
      <c r="E66">
        <f t="shared" si="4"/>
        <v>15.439999999999998</v>
      </c>
      <c r="F66">
        <f t="shared" si="0"/>
        <v>0.55000000000000004</v>
      </c>
    </row>
    <row r="67" spans="1:6" x14ac:dyDescent="0.25">
      <c r="A67">
        <v>60</v>
      </c>
      <c r="B67">
        <f t="shared" si="1"/>
        <v>0.17</v>
      </c>
      <c r="C67">
        <f t="shared" si="2"/>
        <v>7.6</v>
      </c>
      <c r="D67">
        <f t="shared" si="3"/>
        <v>61.130000000000017</v>
      </c>
      <c r="E67">
        <f t="shared" si="4"/>
        <v>15.859999999999998</v>
      </c>
      <c r="F67">
        <f t="shared" si="0"/>
        <v>0.27</v>
      </c>
    </row>
  </sheetData>
  <conditionalFormatting sqref="E7:E68">
    <cfRule type="cellIs" dxfId="10" priority="1" operator="lessThan">
      <formula>6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A07A8-0671-4A88-A287-4094575EFF7A}">
  <dimension ref="A2:S79"/>
  <sheetViews>
    <sheetView topLeftCell="A4" workbookViewId="0">
      <selection activeCell="S8" sqref="S8"/>
    </sheetView>
  </sheetViews>
  <sheetFormatPr defaultRowHeight="15" x14ac:dyDescent="0.25"/>
  <cols>
    <col min="1" max="1" width="15.28515625" customWidth="1"/>
  </cols>
  <sheetData>
    <row r="2" spans="1:19" x14ac:dyDescent="0.25">
      <c r="A2" t="s">
        <v>3</v>
      </c>
      <c r="B2">
        <v>2</v>
      </c>
      <c r="C2" t="s">
        <v>7</v>
      </c>
      <c r="D2">
        <v>0.25</v>
      </c>
      <c r="G2">
        <v>0.1</v>
      </c>
    </row>
    <row r="3" spans="1:19" x14ac:dyDescent="0.25">
      <c r="A3" t="s">
        <v>0</v>
      </c>
      <c r="B3">
        <v>6</v>
      </c>
      <c r="C3" t="s">
        <v>9</v>
      </c>
      <c r="D3">
        <v>78</v>
      </c>
    </row>
    <row r="4" spans="1:19" x14ac:dyDescent="0.25">
      <c r="A4" t="s">
        <v>1</v>
      </c>
      <c r="B4">
        <v>56</v>
      </c>
      <c r="C4" t="s">
        <v>11</v>
      </c>
      <c r="D4">
        <v>18</v>
      </c>
    </row>
    <row r="5" spans="1:19" x14ac:dyDescent="0.25">
      <c r="A5" t="s">
        <v>5</v>
      </c>
      <c r="B5">
        <f>B4-B3</f>
        <v>50</v>
      </c>
      <c r="C5" t="s">
        <v>12</v>
      </c>
      <c r="D5">
        <v>23</v>
      </c>
    </row>
    <row r="6" spans="1:19" x14ac:dyDescent="0.25">
      <c r="A6" t="s">
        <v>2</v>
      </c>
      <c r="B6" t="s">
        <v>4</v>
      </c>
      <c r="C6" t="s">
        <v>6</v>
      </c>
      <c r="D6" t="s">
        <v>8</v>
      </c>
      <c r="F6" t="s">
        <v>10</v>
      </c>
      <c r="G6" t="s">
        <v>13</v>
      </c>
    </row>
    <row r="7" spans="1:19" x14ac:dyDescent="0.25">
      <c r="A7">
        <v>0</v>
      </c>
      <c r="B7">
        <f>ROUND($B$2*POWER(2,-A7/17),2)</f>
        <v>2</v>
      </c>
      <c r="C7">
        <f>ROUND($B$3+$B$5*POWER(2,-A7/12),1)</f>
        <v>56</v>
      </c>
      <c r="D7">
        <f>B7+$D$2</f>
        <v>2.25</v>
      </c>
      <c r="E7">
        <f>IF(C7 &gt; $D$3, 0, B7+$D$2)</f>
        <v>2.25</v>
      </c>
      <c r="F7">
        <f t="shared" ref="F7:F67" si="0">IF(C7 &gt; $D$4, 0, F8+B7+$G$2)</f>
        <v>0</v>
      </c>
      <c r="K7" t="s">
        <v>14</v>
      </c>
      <c r="L7" t="s">
        <v>20</v>
      </c>
      <c r="M7" t="s">
        <v>16</v>
      </c>
      <c r="N7" t="s">
        <v>17</v>
      </c>
      <c r="O7" t="s">
        <v>18</v>
      </c>
      <c r="P7" t="s">
        <v>19</v>
      </c>
      <c r="Q7" t="s">
        <v>21</v>
      </c>
    </row>
    <row r="8" spans="1:19" x14ac:dyDescent="0.25">
      <c r="A8">
        <v>1</v>
      </c>
      <c r="B8">
        <f t="shared" ref="B8:B68" si="1">ROUND($B$2*POWER(2,-A8/17),2)</f>
        <v>1.92</v>
      </c>
      <c r="C8">
        <f t="shared" ref="C8:C68" si="2">ROUND($B$3+$B$5*POWER(2,-A8/12),1)</f>
        <v>53.2</v>
      </c>
      <c r="D8">
        <f>D7+B8+$D$2</f>
        <v>4.42</v>
      </c>
      <c r="E8">
        <f>IF(C8 &gt; $D$3, 0, IF(E7+B8+$D$2 &gt; $D$5, B8+$D$2, E7+B8+$D$2))</f>
        <v>4.42</v>
      </c>
      <c r="F8">
        <f t="shared" si="0"/>
        <v>0</v>
      </c>
      <c r="G8">
        <f>C8+C7</f>
        <v>109.2</v>
      </c>
      <c r="K8" s="1" t="s">
        <v>36</v>
      </c>
      <c r="L8" s="1">
        <v>22.37</v>
      </c>
      <c r="M8" s="1">
        <v>56</v>
      </c>
      <c r="N8" s="1">
        <v>32.5</v>
      </c>
      <c r="O8" s="1">
        <v>2</v>
      </c>
      <c r="P8" s="1">
        <v>1.28</v>
      </c>
      <c r="Q8" s="1">
        <v>12</v>
      </c>
      <c r="S8" t="s">
        <v>117</v>
      </c>
    </row>
    <row r="9" spans="1:19" x14ac:dyDescent="0.25">
      <c r="A9">
        <v>2</v>
      </c>
      <c r="B9">
        <f t="shared" si="1"/>
        <v>1.84</v>
      </c>
      <c r="C9">
        <f t="shared" si="2"/>
        <v>50.5</v>
      </c>
      <c r="D9">
        <f t="shared" ref="D9:D67" si="3">D8+B9+$D$2</f>
        <v>6.51</v>
      </c>
      <c r="E9">
        <f t="shared" ref="E9:E67" si="4">IF(C9 &gt; $D$3, 0, IF(E8+B9+$D$2 &gt; $D$5, B9+$D$2, E8+B9+$D$2))</f>
        <v>6.51</v>
      </c>
      <c r="F9">
        <f t="shared" si="0"/>
        <v>0</v>
      </c>
      <c r="G9">
        <f t="shared" ref="G9:G44" si="5">C9+C8</f>
        <v>103.7</v>
      </c>
      <c r="K9" s="1" t="s">
        <v>37</v>
      </c>
      <c r="L9" s="1">
        <v>16</v>
      </c>
      <c r="M9" s="1">
        <v>31</v>
      </c>
      <c r="N9" s="1">
        <v>18.5</v>
      </c>
      <c r="O9" s="1">
        <v>1.23</v>
      </c>
      <c r="P9" s="1">
        <v>0.75</v>
      </c>
      <c r="Q9" s="1">
        <v>13</v>
      </c>
    </row>
    <row r="10" spans="1:19" x14ac:dyDescent="0.25">
      <c r="A10">
        <v>3</v>
      </c>
      <c r="B10">
        <f t="shared" si="1"/>
        <v>1.77</v>
      </c>
      <c r="C10">
        <f t="shared" si="2"/>
        <v>48</v>
      </c>
      <c r="D10">
        <f t="shared" si="3"/>
        <v>8.5299999999999994</v>
      </c>
      <c r="E10">
        <f t="shared" si="4"/>
        <v>8.5299999999999994</v>
      </c>
      <c r="F10">
        <f t="shared" si="0"/>
        <v>0</v>
      </c>
      <c r="G10">
        <f t="shared" si="5"/>
        <v>98.5</v>
      </c>
      <c r="K10" t="s">
        <v>115</v>
      </c>
      <c r="L10">
        <v>20.3</v>
      </c>
      <c r="M10">
        <v>17.8</v>
      </c>
      <c r="N10">
        <v>6.8</v>
      </c>
      <c r="O10">
        <v>0.72</v>
      </c>
      <c r="P10">
        <v>0.16</v>
      </c>
      <c r="Q10">
        <v>48</v>
      </c>
    </row>
    <row r="11" spans="1:19" x14ac:dyDescent="0.25">
      <c r="A11">
        <v>4</v>
      </c>
      <c r="B11">
        <f t="shared" si="1"/>
        <v>1.7</v>
      </c>
      <c r="C11">
        <f t="shared" si="2"/>
        <v>45.7</v>
      </c>
      <c r="D11">
        <f t="shared" si="3"/>
        <v>10.479999999999999</v>
      </c>
      <c r="E11">
        <f t="shared" si="4"/>
        <v>10.479999999999999</v>
      </c>
      <c r="F11">
        <f t="shared" si="0"/>
        <v>0</v>
      </c>
      <c r="G11">
        <f t="shared" si="5"/>
        <v>93.7</v>
      </c>
      <c r="K11" t="s">
        <v>24</v>
      </c>
      <c r="L11">
        <f>SUM(L8:L10)</f>
        <v>58.67</v>
      </c>
      <c r="Q11">
        <f>SUM(Q8:Q10)</f>
        <v>73</v>
      </c>
    </row>
    <row r="12" spans="1:19" x14ac:dyDescent="0.25">
      <c r="A12">
        <v>5</v>
      </c>
      <c r="B12">
        <f t="shared" si="1"/>
        <v>1.63</v>
      </c>
      <c r="C12">
        <f t="shared" si="2"/>
        <v>43.5</v>
      </c>
      <c r="D12">
        <f t="shared" si="3"/>
        <v>12.36</v>
      </c>
      <c r="E12">
        <f t="shared" si="4"/>
        <v>12.36</v>
      </c>
      <c r="F12">
        <f t="shared" si="0"/>
        <v>0</v>
      </c>
      <c r="G12">
        <f t="shared" si="5"/>
        <v>89.2</v>
      </c>
    </row>
    <row r="13" spans="1:19" x14ac:dyDescent="0.25">
      <c r="A13">
        <v>6</v>
      </c>
      <c r="B13">
        <f t="shared" si="1"/>
        <v>1.57</v>
      </c>
      <c r="C13">
        <f t="shared" si="2"/>
        <v>41.4</v>
      </c>
      <c r="D13">
        <f t="shared" si="3"/>
        <v>14.18</v>
      </c>
      <c r="E13">
        <f t="shared" si="4"/>
        <v>14.18</v>
      </c>
      <c r="F13">
        <f t="shared" si="0"/>
        <v>0</v>
      </c>
      <c r="G13">
        <f t="shared" si="5"/>
        <v>84.9</v>
      </c>
    </row>
    <row r="14" spans="1:19" x14ac:dyDescent="0.25">
      <c r="A14">
        <v>7</v>
      </c>
      <c r="B14">
        <f t="shared" si="1"/>
        <v>1.5</v>
      </c>
      <c r="C14">
        <f t="shared" si="2"/>
        <v>39.4</v>
      </c>
      <c r="D14">
        <f t="shared" si="3"/>
        <v>15.93</v>
      </c>
      <c r="E14">
        <f t="shared" si="4"/>
        <v>15.93</v>
      </c>
      <c r="F14">
        <f t="shared" si="0"/>
        <v>0</v>
      </c>
      <c r="G14">
        <f t="shared" si="5"/>
        <v>80.8</v>
      </c>
    </row>
    <row r="15" spans="1:19" x14ac:dyDescent="0.25">
      <c r="A15">
        <v>8</v>
      </c>
      <c r="B15">
        <f t="shared" si="1"/>
        <v>1.44</v>
      </c>
      <c r="C15">
        <f t="shared" si="2"/>
        <v>37.5</v>
      </c>
      <c r="D15">
        <f t="shared" si="3"/>
        <v>17.62</v>
      </c>
      <c r="E15">
        <f t="shared" si="4"/>
        <v>17.62</v>
      </c>
      <c r="F15">
        <f t="shared" si="0"/>
        <v>0</v>
      </c>
      <c r="G15">
        <f t="shared" si="5"/>
        <v>76.900000000000006</v>
      </c>
    </row>
    <row r="16" spans="1:19" x14ac:dyDescent="0.25">
      <c r="A16">
        <v>9</v>
      </c>
      <c r="B16">
        <f t="shared" si="1"/>
        <v>1.39</v>
      </c>
      <c r="C16">
        <f t="shared" si="2"/>
        <v>35.700000000000003</v>
      </c>
      <c r="D16">
        <f t="shared" si="3"/>
        <v>19.260000000000002</v>
      </c>
      <c r="E16">
        <f t="shared" si="4"/>
        <v>19.260000000000002</v>
      </c>
      <c r="F16">
        <f t="shared" si="0"/>
        <v>0</v>
      </c>
      <c r="G16">
        <f t="shared" si="5"/>
        <v>73.2</v>
      </c>
    </row>
    <row r="17" spans="1:7" x14ac:dyDescent="0.25">
      <c r="A17">
        <v>10</v>
      </c>
      <c r="B17">
        <f t="shared" si="1"/>
        <v>1.33</v>
      </c>
      <c r="C17">
        <f t="shared" si="2"/>
        <v>34.1</v>
      </c>
      <c r="D17">
        <f t="shared" si="3"/>
        <v>20.840000000000003</v>
      </c>
      <c r="E17">
        <f t="shared" si="4"/>
        <v>20.840000000000003</v>
      </c>
      <c r="F17">
        <f t="shared" si="0"/>
        <v>0</v>
      </c>
      <c r="G17">
        <f t="shared" si="5"/>
        <v>69.800000000000011</v>
      </c>
    </row>
    <row r="18" spans="1:7" x14ac:dyDescent="0.25">
      <c r="A18">
        <v>11</v>
      </c>
      <c r="B18">
        <f t="shared" si="1"/>
        <v>1.28</v>
      </c>
      <c r="C18">
        <f t="shared" si="2"/>
        <v>32.5</v>
      </c>
      <c r="D18">
        <f t="shared" si="3"/>
        <v>22.370000000000005</v>
      </c>
      <c r="E18">
        <f t="shared" si="4"/>
        <v>22.370000000000005</v>
      </c>
      <c r="F18">
        <f t="shared" si="0"/>
        <v>0</v>
      </c>
      <c r="G18">
        <f t="shared" si="5"/>
        <v>66.599999999999994</v>
      </c>
    </row>
    <row r="19" spans="1:7" x14ac:dyDescent="0.25">
      <c r="A19">
        <v>12</v>
      </c>
      <c r="B19">
        <f t="shared" si="1"/>
        <v>1.23</v>
      </c>
      <c r="C19">
        <f t="shared" si="2"/>
        <v>31</v>
      </c>
      <c r="D19">
        <f t="shared" si="3"/>
        <v>23.850000000000005</v>
      </c>
      <c r="E19">
        <f t="shared" si="4"/>
        <v>1.48</v>
      </c>
      <c r="F19">
        <f t="shared" si="0"/>
        <v>0</v>
      </c>
      <c r="G19">
        <f t="shared" si="5"/>
        <v>63.5</v>
      </c>
    </row>
    <row r="20" spans="1:7" x14ac:dyDescent="0.25">
      <c r="A20">
        <v>13</v>
      </c>
      <c r="B20">
        <f t="shared" si="1"/>
        <v>1.18</v>
      </c>
      <c r="C20">
        <f t="shared" si="2"/>
        <v>29.6</v>
      </c>
      <c r="D20">
        <f t="shared" si="3"/>
        <v>25.280000000000005</v>
      </c>
      <c r="E20">
        <f t="shared" si="4"/>
        <v>2.91</v>
      </c>
      <c r="F20">
        <f t="shared" si="0"/>
        <v>0</v>
      </c>
      <c r="G20">
        <f t="shared" si="5"/>
        <v>60.6</v>
      </c>
    </row>
    <row r="21" spans="1:7" x14ac:dyDescent="0.25">
      <c r="A21">
        <v>14</v>
      </c>
      <c r="B21">
        <f t="shared" si="1"/>
        <v>1.1299999999999999</v>
      </c>
      <c r="C21">
        <f t="shared" si="2"/>
        <v>28.3</v>
      </c>
      <c r="D21">
        <f t="shared" si="3"/>
        <v>26.660000000000004</v>
      </c>
      <c r="E21">
        <f t="shared" si="4"/>
        <v>4.29</v>
      </c>
      <c r="F21">
        <f t="shared" si="0"/>
        <v>0</v>
      </c>
      <c r="G21">
        <f t="shared" si="5"/>
        <v>57.900000000000006</v>
      </c>
    </row>
    <row r="22" spans="1:7" x14ac:dyDescent="0.25">
      <c r="A22">
        <v>15</v>
      </c>
      <c r="B22">
        <f t="shared" si="1"/>
        <v>1.08</v>
      </c>
      <c r="C22">
        <f t="shared" si="2"/>
        <v>27</v>
      </c>
      <c r="D22">
        <f t="shared" si="3"/>
        <v>27.990000000000002</v>
      </c>
      <c r="E22">
        <f t="shared" si="4"/>
        <v>5.62</v>
      </c>
      <c r="F22">
        <f t="shared" si="0"/>
        <v>0</v>
      </c>
      <c r="G22">
        <f t="shared" si="5"/>
        <v>55.3</v>
      </c>
    </row>
    <row r="23" spans="1:7" x14ac:dyDescent="0.25">
      <c r="A23">
        <v>16</v>
      </c>
      <c r="B23">
        <f t="shared" si="1"/>
        <v>1.04</v>
      </c>
      <c r="C23">
        <f t="shared" si="2"/>
        <v>25.8</v>
      </c>
      <c r="D23">
        <f t="shared" si="3"/>
        <v>29.28</v>
      </c>
      <c r="E23">
        <f t="shared" si="4"/>
        <v>6.91</v>
      </c>
      <c r="F23">
        <f t="shared" si="0"/>
        <v>0</v>
      </c>
      <c r="G23">
        <f t="shared" si="5"/>
        <v>52.8</v>
      </c>
    </row>
    <row r="24" spans="1:7" x14ac:dyDescent="0.25">
      <c r="A24">
        <v>17</v>
      </c>
      <c r="B24">
        <f t="shared" si="1"/>
        <v>1</v>
      </c>
      <c r="C24">
        <f t="shared" si="2"/>
        <v>24.7</v>
      </c>
      <c r="D24">
        <f t="shared" si="3"/>
        <v>30.53</v>
      </c>
      <c r="E24">
        <f t="shared" si="4"/>
        <v>8.16</v>
      </c>
      <c r="F24">
        <f t="shared" si="0"/>
        <v>0</v>
      </c>
      <c r="G24">
        <f t="shared" si="5"/>
        <v>50.5</v>
      </c>
    </row>
    <row r="25" spans="1:7" x14ac:dyDescent="0.25">
      <c r="A25">
        <v>18</v>
      </c>
      <c r="B25">
        <f t="shared" si="1"/>
        <v>0.96</v>
      </c>
      <c r="C25">
        <f t="shared" si="2"/>
        <v>23.7</v>
      </c>
      <c r="D25">
        <f t="shared" si="3"/>
        <v>31.740000000000002</v>
      </c>
      <c r="E25">
        <f t="shared" si="4"/>
        <v>9.370000000000001</v>
      </c>
      <c r="F25">
        <f t="shared" si="0"/>
        <v>0</v>
      </c>
      <c r="G25">
        <f t="shared" si="5"/>
        <v>48.4</v>
      </c>
    </row>
    <row r="26" spans="1:7" x14ac:dyDescent="0.25">
      <c r="A26">
        <v>19</v>
      </c>
      <c r="B26">
        <f t="shared" si="1"/>
        <v>0.92</v>
      </c>
      <c r="C26">
        <f t="shared" si="2"/>
        <v>22.7</v>
      </c>
      <c r="D26">
        <f t="shared" si="3"/>
        <v>32.910000000000004</v>
      </c>
      <c r="E26">
        <f t="shared" si="4"/>
        <v>10.540000000000001</v>
      </c>
      <c r="F26">
        <f t="shared" si="0"/>
        <v>0</v>
      </c>
      <c r="G26">
        <f t="shared" si="5"/>
        <v>46.4</v>
      </c>
    </row>
    <row r="27" spans="1:7" x14ac:dyDescent="0.25">
      <c r="A27">
        <v>20</v>
      </c>
      <c r="B27">
        <f t="shared" si="1"/>
        <v>0.88</v>
      </c>
      <c r="C27">
        <f t="shared" si="2"/>
        <v>21.7</v>
      </c>
      <c r="D27">
        <f t="shared" si="3"/>
        <v>34.040000000000006</v>
      </c>
      <c r="E27">
        <f t="shared" si="4"/>
        <v>11.670000000000002</v>
      </c>
      <c r="F27">
        <f t="shared" si="0"/>
        <v>0</v>
      </c>
      <c r="G27">
        <f t="shared" si="5"/>
        <v>44.4</v>
      </c>
    </row>
    <row r="28" spans="1:7" x14ac:dyDescent="0.25">
      <c r="A28">
        <v>21</v>
      </c>
      <c r="B28">
        <f t="shared" si="1"/>
        <v>0.85</v>
      </c>
      <c r="C28">
        <f t="shared" si="2"/>
        <v>20.9</v>
      </c>
      <c r="D28">
        <f t="shared" si="3"/>
        <v>35.140000000000008</v>
      </c>
      <c r="E28">
        <f t="shared" si="4"/>
        <v>12.770000000000001</v>
      </c>
      <c r="F28">
        <f t="shared" si="0"/>
        <v>0</v>
      </c>
      <c r="G28">
        <f t="shared" si="5"/>
        <v>42.599999999999994</v>
      </c>
    </row>
    <row r="29" spans="1:7" x14ac:dyDescent="0.25">
      <c r="A29">
        <v>22</v>
      </c>
      <c r="B29">
        <f t="shared" si="1"/>
        <v>0.82</v>
      </c>
      <c r="C29">
        <f t="shared" si="2"/>
        <v>20</v>
      </c>
      <c r="D29">
        <f t="shared" si="3"/>
        <v>36.210000000000008</v>
      </c>
      <c r="E29">
        <f t="shared" si="4"/>
        <v>13.840000000000002</v>
      </c>
      <c r="F29">
        <f t="shared" si="0"/>
        <v>0</v>
      </c>
      <c r="G29">
        <f t="shared" si="5"/>
        <v>40.9</v>
      </c>
    </row>
    <row r="30" spans="1:7" x14ac:dyDescent="0.25">
      <c r="A30">
        <v>23</v>
      </c>
      <c r="B30">
        <f t="shared" si="1"/>
        <v>0.78</v>
      </c>
      <c r="C30">
        <f t="shared" si="2"/>
        <v>19.2</v>
      </c>
      <c r="D30">
        <f t="shared" si="3"/>
        <v>37.240000000000009</v>
      </c>
      <c r="E30">
        <f t="shared" si="4"/>
        <v>14.870000000000001</v>
      </c>
      <c r="F30">
        <f t="shared" si="0"/>
        <v>0</v>
      </c>
      <c r="G30">
        <f t="shared" si="5"/>
        <v>39.200000000000003</v>
      </c>
    </row>
    <row r="31" spans="1:7" x14ac:dyDescent="0.25">
      <c r="A31">
        <v>24</v>
      </c>
      <c r="B31">
        <f t="shared" si="1"/>
        <v>0.75</v>
      </c>
      <c r="C31">
        <f t="shared" si="2"/>
        <v>18.5</v>
      </c>
      <c r="D31">
        <f t="shared" si="3"/>
        <v>38.240000000000009</v>
      </c>
      <c r="E31">
        <f t="shared" si="4"/>
        <v>15.870000000000001</v>
      </c>
      <c r="F31">
        <f t="shared" si="0"/>
        <v>0</v>
      </c>
      <c r="G31">
        <f t="shared" si="5"/>
        <v>37.700000000000003</v>
      </c>
    </row>
    <row r="32" spans="1:7" x14ac:dyDescent="0.25">
      <c r="A32">
        <v>25</v>
      </c>
      <c r="B32">
        <f t="shared" si="1"/>
        <v>0.72</v>
      </c>
      <c r="C32">
        <f t="shared" si="2"/>
        <v>17.8</v>
      </c>
      <c r="D32">
        <f t="shared" si="3"/>
        <v>39.210000000000008</v>
      </c>
      <c r="E32">
        <f t="shared" si="4"/>
        <v>16.84</v>
      </c>
      <c r="F32">
        <f t="shared" si="0"/>
        <v>20.320000000000004</v>
      </c>
      <c r="G32">
        <f t="shared" si="5"/>
        <v>36.299999999999997</v>
      </c>
    </row>
    <row r="33" spans="1:7" x14ac:dyDescent="0.25">
      <c r="A33">
        <v>26</v>
      </c>
      <c r="B33">
        <f t="shared" si="1"/>
        <v>0.69</v>
      </c>
      <c r="C33">
        <f t="shared" si="2"/>
        <v>17.100000000000001</v>
      </c>
      <c r="D33">
        <f t="shared" si="3"/>
        <v>40.150000000000006</v>
      </c>
      <c r="E33">
        <f t="shared" si="4"/>
        <v>17.78</v>
      </c>
      <c r="F33">
        <f t="shared" si="0"/>
        <v>19.500000000000004</v>
      </c>
      <c r="G33">
        <f t="shared" si="5"/>
        <v>34.900000000000006</v>
      </c>
    </row>
    <row r="34" spans="1:7" x14ac:dyDescent="0.25">
      <c r="A34">
        <v>27</v>
      </c>
      <c r="B34">
        <f t="shared" si="1"/>
        <v>0.67</v>
      </c>
      <c r="C34">
        <f t="shared" si="2"/>
        <v>16.5</v>
      </c>
      <c r="D34">
        <f t="shared" si="3"/>
        <v>41.070000000000007</v>
      </c>
      <c r="E34">
        <f t="shared" si="4"/>
        <v>18.700000000000003</v>
      </c>
      <c r="F34">
        <f t="shared" si="0"/>
        <v>18.71</v>
      </c>
      <c r="G34">
        <f t="shared" si="5"/>
        <v>33.6</v>
      </c>
    </row>
    <row r="35" spans="1:7" x14ac:dyDescent="0.25">
      <c r="A35">
        <v>28</v>
      </c>
      <c r="B35">
        <f t="shared" si="1"/>
        <v>0.64</v>
      </c>
      <c r="C35">
        <f t="shared" si="2"/>
        <v>15.9</v>
      </c>
      <c r="D35">
        <f t="shared" si="3"/>
        <v>41.960000000000008</v>
      </c>
      <c r="E35">
        <f t="shared" si="4"/>
        <v>19.590000000000003</v>
      </c>
      <c r="F35">
        <f t="shared" si="0"/>
        <v>17.939999999999998</v>
      </c>
      <c r="G35">
        <f t="shared" si="5"/>
        <v>32.4</v>
      </c>
    </row>
    <row r="36" spans="1:7" x14ac:dyDescent="0.25">
      <c r="A36">
        <v>29</v>
      </c>
      <c r="B36">
        <f t="shared" si="1"/>
        <v>0.61</v>
      </c>
      <c r="C36">
        <f t="shared" si="2"/>
        <v>15.4</v>
      </c>
      <c r="D36">
        <f t="shared" si="3"/>
        <v>42.820000000000007</v>
      </c>
      <c r="E36">
        <f t="shared" si="4"/>
        <v>20.450000000000003</v>
      </c>
      <c r="F36">
        <f t="shared" si="0"/>
        <v>17.199999999999996</v>
      </c>
      <c r="G36">
        <f t="shared" si="5"/>
        <v>31.3</v>
      </c>
    </row>
    <row r="37" spans="1:7" x14ac:dyDescent="0.25">
      <c r="A37">
        <v>30</v>
      </c>
      <c r="B37">
        <f t="shared" si="1"/>
        <v>0.59</v>
      </c>
      <c r="C37">
        <f t="shared" si="2"/>
        <v>14.8</v>
      </c>
      <c r="D37">
        <f t="shared" si="3"/>
        <v>43.660000000000011</v>
      </c>
      <c r="E37">
        <f t="shared" si="4"/>
        <v>21.290000000000003</v>
      </c>
      <c r="F37">
        <f t="shared" si="0"/>
        <v>16.489999999999995</v>
      </c>
      <c r="G37">
        <f t="shared" si="5"/>
        <v>30.200000000000003</v>
      </c>
    </row>
    <row r="38" spans="1:7" x14ac:dyDescent="0.25">
      <c r="A38">
        <v>31</v>
      </c>
      <c r="B38">
        <f t="shared" si="1"/>
        <v>0.56999999999999995</v>
      </c>
      <c r="C38">
        <f t="shared" si="2"/>
        <v>14.3</v>
      </c>
      <c r="D38">
        <f t="shared" si="3"/>
        <v>44.480000000000011</v>
      </c>
      <c r="E38">
        <f t="shared" si="4"/>
        <v>22.110000000000003</v>
      </c>
      <c r="F38">
        <f t="shared" si="0"/>
        <v>15.799999999999994</v>
      </c>
      <c r="G38">
        <f t="shared" si="5"/>
        <v>29.1</v>
      </c>
    </row>
    <row r="39" spans="1:7" x14ac:dyDescent="0.25">
      <c r="A39">
        <v>32</v>
      </c>
      <c r="B39">
        <f t="shared" si="1"/>
        <v>0.54</v>
      </c>
      <c r="C39">
        <f t="shared" si="2"/>
        <v>13.9</v>
      </c>
      <c r="D39">
        <f t="shared" si="3"/>
        <v>45.27000000000001</v>
      </c>
      <c r="E39">
        <f t="shared" si="4"/>
        <v>22.900000000000002</v>
      </c>
      <c r="F39">
        <f t="shared" si="0"/>
        <v>15.129999999999994</v>
      </c>
      <c r="G39">
        <f t="shared" si="5"/>
        <v>28.200000000000003</v>
      </c>
    </row>
    <row r="40" spans="1:7" x14ac:dyDescent="0.25">
      <c r="A40">
        <v>33</v>
      </c>
      <c r="B40">
        <f t="shared" si="1"/>
        <v>0.52</v>
      </c>
      <c r="C40">
        <f t="shared" si="2"/>
        <v>13.4</v>
      </c>
      <c r="D40">
        <f t="shared" si="3"/>
        <v>46.040000000000013</v>
      </c>
      <c r="E40">
        <f t="shared" si="4"/>
        <v>0.77</v>
      </c>
      <c r="F40">
        <f t="shared" si="0"/>
        <v>14.489999999999993</v>
      </c>
      <c r="G40">
        <f t="shared" si="5"/>
        <v>27.3</v>
      </c>
    </row>
    <row r="41" spans="1:7" x14ac:dyDescent="0.25">
      <c r="A41">
        <v>34</v>
      </c>
      <c r="B41">
        <f t="shared" si="1"/>
        <v>0.5</v>
      </c>
      <c r="C41">
        <f t="shared" si="2"/>
        <v>13</v>
      </c>
      <c r="D41">
        <f t="shared" si="3"/>
        <v>46.790000000000013</v>
      </c>
      <c r="E41">
        <f t="shared" si="4"/>
        <v>1.52</v>
      </c>
      <c r="F41">
        <f t="shared" si="0"/>
        <v>13.869999999999994</v>
      </c>
      <c r="G41">
        <f t="shared" si="5"/>
        <v>26.4</v>
      </c>
    </row>
    <row r="42" spans="1:7" x14ac:dyDescent="0.25">
      <c r="A42">
        <v>35</v>
      </c>
      <c r="B42">
        <f t="shared" si="1"/>
        <v>0.48</v>
      </c>
      <c r="C42">
        <f t="shared" si="2"/>
        <v>12.6</v>
      </c>
      <c r="D42">
        <f t="shared" si="3"/>
        <v>47.52000000000001</v>
      </c>
      <c r="E42">
        <f t="shared" si="4"/>
        <v>2.25</v>
      </c>
      <c r="F42">
        <f t="shared" si="0"/>
        <v>13.269999999999994</v>
      </c>
      <c r="G42">
        <f t="shared" si="5"/>
        <v>25.6</v>
      </c>
    </row>
    <row r="43" spans="1:7" x14ac:dyDescent="0.25">
      <c r="A43">
        <v>36</v>
      </c>
      <c r="B43">
        <f t="shared" si="1"/>
        <v>0.46</v>
      </c>
      <c r="C43">
        <f t="shared" si="2"/>
        <v>12.3</v>
      </c>
      <c r="D43">
        <f t="shared" si="3"/>
        <v>48.230000000000011</v>
      </c>
      <c r="E43">
        <f t="shared" si="4"/>
        <v>2.96</v>
      </c>
      <c r="F43">
        <f t="shared" si="0"/>
        <v>12.689999999999994</v>
      </c>
      <c r="G43">
        <f t="shared" si="5"/>
        <v>24.9</v>
      </c>
    </row>
    <row r="44" spans="1:7" x14ac:dyDescent="0.25">
      <c r="A44">
        <v>37</v>
      </c>
      <c r="B44">
        <f t="shared" si="1"/>
        <v>0.44</v>
      </c>
      <c r="C44">
        <f t="shared" si="2"/>
        <v>11.9</v>
      </c>
      <c r="D44">
        <f t="shared" si="3"/>
        <v>48.920000000000009</v>
      </c>
      <c r="E44">
        <f t="shared" si="4"/>
        <v>3.65</v>
      </c>
      <c r="F44">
        <f t="shared" si="0"/>
        <v>12.129999999999994</v>
      </c>
      <c r="G44">
        <f t="shared" si="5"/>
        <v>24.200000000000003</v>
      </c>
    </row>
    <row r="45" spans="1:7" x14ac:dyDescent="0.25">
      <c r="A45">
        <v>38</v>
      </c>
      <c r="B45">
        <f t="shared" si="1"/>
        <v>0.42</v>
      </c>
      <c r="C45">
        <f t="shared" si="2"/>
        <v>11.6</v>
      </c>
      <c r="D45">
        <f t="shared" si="3"/>
        <v>49.590000000000011</v>
      </c>
      <c r="E45">
        <f t="shared" si="4"/>
        <v>4.32</v>
      </c>
      <c r="F45">
        <f t="shared" si="0"/>
        <v>11.589999999999995</v>
      </c>
    </row>
    <row r="46" spans="1:7" x14ac:dyDescent="0.25">
      <c r="A46">
        <v>39</v>
      </c>
      <c r="B46">
        <f t="shared" si="1"/>
        <v>0.41</v>
      </c>
      <c r="C46">
        <f t="shared" si="2"/>
        <v>11.3</v>
      </c>
      <c r="D46">
        <f t="shared" si="3"/>
        <v>50.250000000000007</v>
      </c>
      <c r="E46">
        <f t="shared" si="4"/>
        <v>4.9800000000000004</v>
      </c>
      <c r="F46">
        <f t="shared" si="0"/>
        <v>11.069999999999995</v>
      </c>
    </row>
    <row r="47" spans="1:7" x14ac:dyDescent="0.25">
      <c r="A47">
        <v>40</v>
      </c>
      <c r="B47">
        <f t="shared" si="1"/>
        <v>0.39</v>
      </c>
      <c r="C47">
        <f t="shared" si="2"/>
        <v>11</v>
      </c>
      <c r="D47">
        <f t="shared" si="3"/>
        <v>50.890000000000008</v>
      </c>
      <c r="E47">
        <f t="shared" si="4"/>
        <v>5.62</v>
      </c>
      <c r="F47">
        <f t="shared" si="0"/>
        <v>10.559999999999995</v>
      </c>
    </row>
    <row r="48" spans="1:7" x14ac:dyDescent="0.25">
      <c r="A48">
        <v>41</v>
      </c>
      <c r="B48">
        <f t="shared" si="1"/>
        <v>0.38</v>
      </c>
      <c r="C48">
        <f t="shared" si="2"/>
        <v>10.7</v>
      </c>
      <c r="D48">
        <f t="shared" si="3"/>
        <v>51.52000000000001</v>
      </c>
      <c r="E48">
        <f t="shared" si="4"/>
        <v>6.25</v>
      </c>
      <c r="F48">
        <f t="shared" si="0"/>
        <v>10.069999999999995</v>
      </c>
    </row>
    <row r="49" spans="1:6" x14ac:dyDescent="0.25">
      <c r="A49">
        <v>42</v>
      </c>
      <c r="B49">
        <f t="shared" si="1"/>
        <v>0.36</v>
      </c>
      <c r="C49">
        <f t="shared" si="2"/>
        <v>10.4</v>
      </c>
      <c r="D49">
        <f t="shared" si="3"/>
        <v>52.13000000000001</v>
      </c>
      <c r="E49">
        <f t="shared" si="4"/>
        <v>6.86</v>
      </c>
      <c r="F49">
        <f t="shared" si="0"/>
        <v>9.5899999999999945</v>
      </c>
    </row>
    <row r="50" spans="1:6" x14ac:dyDescent="0.25">
      <c r="A50">
        <v>43</v>
      </c>
      <c r="B50">
        <f t="shared" si="1"/>
        <v>0.35</v>
      </c>
      <c r="C50">
        <f t="shared" si="2"/>
        <v>10.199999999999999</v>
      </c>
      <c r="D50">
        <f t="shared" si="3"/>
        <v>52.730000000000011</v>
      </c>
      <c r="E50">
        <f t="shared" si="4"/>
        <v>7.46</v>
      </c>
      <c r="F50">
        <f t="shared" si="0"/>
        <v>9.1299999999999955</v>
      </c>
    </row>
    <row r="51" spans="1:6" x14ac:dyDescent="0.25">
      <c r="A51">
        <v>44</v>
      </c>
      <c r="B51">
        <f t="shared" si="1"/>
        <v>0.33</v>
      </c>
      <c r="C51">
        <f t="shared" si="2"/>
        <v>9.9</v>
      </c>
      <c r="D51">
        <f t="shared" si="3"/>
        <v>53.310000000000009</v>
      </c>
      <c r="E51">
        <f t="shared" si="4"/>
        <v>8.0399999999999991</v>
      </c>
      <c r="F51">
        <f t="shared" si="0"/>
        <v>8.6799999999999962</v>
      </c>
    </row>
    <row r="52" spans="1:6" x14ac:dyDescent="0.25">
      <c r="A52">
        <v>45</v>
      </c>
      <c r="B52">
        <f t="shared" si="1"/>
        <v>0.32</v>
      </c>
      <c r="C52">
        <f t="shared" si="2"/>
        <v>9.6999999999999993</v>
      </c>
      <c r="D52">
        <f t="shared" si="3"/>
        <v>53.88000000000001</v>
      </c>
      <c r="E52">
        <f t="shared" si="4"/>
        <v>8.61</v>
      </c>
      <c r="F52">
        <f t="shared" si="0"/>
        <v>8.2499999999999964</v>
      </c>
    </row>
    <row r="53" spans="1:6" x14ac:dyDescent="0.25">
      <c r="A53">
        <v>46</v>
      </c>
      <c r="B53">
        <f t="shared" si="1"/>
        <v>0.31</v>
      </c>
      <c r="C53">
        <f t="shared" si="2"/>
        <v>9.5</v>
      </c>
      <c r="D53">
        <f t="shared" si="3"/>
        <v>54.440000000000012</v>
      </c>
      <c r="E53">
        <f t="shared" si="4"/>
        <v>9.17</v>
      </c>
      <c r="F53">
        <f t="shared" si="0"/>
        <v>7.8299999999999974</v>
      </c>
    </row>
    <row r="54" spans="1:6" x14ac:dyDescent="0.25">
      <c r="A54">
        <v>47</v>
      </c>
      <c r="B54">
        <f t="shared" si="1"/>
        <v>0.28999999999999998</v>
      </c>
      <c r="C54">
        <f t="shared" si="2"/>
        <v>9.3000000000000007</v>
      </c>
      <c r="D54">
        <f t="shared" si="3"/>
        <v>54.980000000000011</v>
      </c>
      <c r="E54">
        <f t="shared" si="4"/>
        <v>9.7099999999999991</v>
      </c>
      <c r="F54">
        <f t="shared" si="0"/>
        <v>7.4199999999999982</v>
      </c>
    </row>
    <row r="55" spans="1:6" x14ac:dyDescent="0.25">
      <c r="A55">
        <v>48</v>
      </c>
      <c r="B55">
        <f t="shared" si="1"/>
        <v>0.28000000000000003</v>
      </c>
      <c r="C55">
        <f t="shared" si="2"/>
        <v>9.1</v>
      </c>
      <c r="D55">
        <f t="shared" si="3"/>
        <v>55.510000000000012</v>
      </c>
      <c r="E55">
        <f t="shared" si="4"/>
        <v>10.239999999999998</v>
      </c>
      <c r="F55">
        <f t="shared" si="0"/>
        <v>7.0299999999999985</v>
      </c>
    </row>
    <row r="56" spans="1:6" x14ac:dyDescent="0.25">
      <c r="A56">
        <v>49</v>
      </c>
      <c r="B56">
        <f t="shared" si="1"/>
        <v>0.27</v>
      </c>
      <c r="C56">
        <f t="shared" si="2"/>
        <v>8.9</v>
      </c>
      <c r="D56">
        <f t="shared" si="3"/>
        <v>56.030000000000015</v>
      </c>
      <c r="E56">
        <f t="shared" si="4"/>
        <v>10.759999999999998</v>
      </c>
      <c r="F56">
        <f t="shared" si="0"/>
        <v>6.6499999999999986</v>
      </c>
    </row>
    <row r="57" spans="1:6" x14ac:dyDescent="0.25">
      <c r="A57">
        <v>50</v>
      </c>
      <c r="B57">
        <f t="shared" si="1"/>
        <v>0.26</v>
      </c>
      <c r="C57">
        <f t="shared" si="2"/>
        <v>8.8000000000000007</v>
      </c>
      <c r="D57">
        <f t="shared" si="3"/>
        <v>56.540000000000013</v>
      </c>
      <c r="E57">
        <f t="shared" si="4"/>
        <v>11.269999999999998</v>
      </c>
      <c r="F57">
        <f t="shared" si="0"/>
        <v>6.2799999999999994</v>
      </c>
    </row>
    <row r="58" spans="1:6" x14ac:dyDescent="0.25">
      <c r="A58">
        <v>51</v>
      </c>
      <c r="B58">
        <f t="shared" si="1"/>
        <v>0.25</v>
      </c>
      <c r="C58">
        <f t="shared" si="2"/>
        <v>8.6</v>
      </c>
      <c r="D58">
        <f t="shared" si="3"/>
        <v>57.040000000000013</v>
      </c>
      <c r="E58">
        <f t="shared" si="4"/>
        <v>11.769999999999998</v>
      </c>
      <c r="F58">
        <f t="shared" si="0"/>
        <v>5.92</v>
      </c>
    </row>
    <row r="59" spans="1:6" x14ac:dyDescent="0.25">
      <c r="A59">
        <v>52</v>
      </c>
      <c r="B59">
        <f t="shared" si="1"/>
        <v>0.24</v>
      </c>
      <c r="C59">
        <f t="shared" si="2"/>
        <v>8.5</v>
      </c>
      <c r="D59">
        <f t="shared" si="3"/>
        <v>57.530000000000015</v>
      </c>
      <c r="E59">
        <f t="shared" si="4"/>
        <v>12.259999999999998</v>
      </c>
      <c r="F59">
        <f t="shared" si="0"/>
        <v>5.57</v>
      </c>
    </row>
    <row r="60" spans="1:6" x14ac:dyDescent="0.25">
      <c r="A60">
        <v>53</v>
      </c>
      <c r="B60">
        <f t="shared" si="1"/>
        <v>0.23</v>
      </c>
      <c r="C60">
        <f t="shared" si="2"/>
        <v>8.3000000000000007</v>
      </c>
      <c r="D60">
        <f t="shared" si="3"/>
        <v>58.010000000000012</v>
      </c>
      <c r="E60">
        <f t="shared" si="4"/>
        <v>12.739999999999998</v>
      </c>
      <c r="F60">
        <f t="shared" si="0"/>
        <v>5.23</v>
      </c>
    </row>
    <row r="61" spans="1:6" x14ac:dyDescent="0.25">
      <c r="A61">
        <v>54</v>
      </c>
      <c r="B61">
        <f t="shared" si="1"/>
        <v>0.22</v>
      </c>
      <c r="C61">
        <f t="shared" si="2"/>
        <v>8.1999999999999993</v>
      </c>
      <c r="D61">
        <f t="shared" si="3"/>
        <v>58.480000000000011</v>
      </c>
      <c r="E61">
        <f t="shared" si="4"/>
        <v>13.209999999999999</v>
      </c>
      <c r="F61">
        <f t="shared" si="0"/>
        <v>4.9000000000000004</v>
      </c>
    </row>
    <row r="62" spans="1:6" x14ac:dyDescent="0.25">
      <c r="A62">
        <v>55</v>
      </c>
      <c r="B62">
        <f t="shared" si="1"/>
        <v>0.21</v>
      </c>
      <c r="C62">
        <f t="shared" si="2"/>
        <v>8.1</v>
      </c>
      <c r="D62">
        <f t="shared" si="3"/>
        <v>58.940000000000012</v>
      </c>
      <c r="E62">
        <f t="shared" si="4"/>
        <v>13.67</v>
      </c>
      <c r="F62">
        <f t="shared" si="0"/>
        <v>4.580000000000001</v>
      </c>
    </row>
    <row r="63" spans="1:6" x14ac:dyDescent="0.25">
      <c r="A63">
        <v>56</v>
      </c>
      <c r="B63">
        <f t="shared" si="1"/>
        <v>0.2</v>
      </c>
      <c r="C63">
        <f t="shared" si="2"/>
        <v>8</v>
      </c>
      <c r="D63">
        <f t="shared" si="3"/>
        <v>59.390000000000015</v>
      </c>
      <c r="E63">
        <f t="shared" si="4"/>
        <v>14.12</v>
      </c>
      <c r="F63">
        <f t="shared" si="0"/>
        <v>4.2700000000000014</v>
      </c>
    </row>
    <row r="64" spans="1:6" x14ac:dyDescent="0.25">
      <c r="A64">
        <v>57</v>
      </c>
      <c r="B64">
        <f t="shared" si="1"/>
        <v>0.2</v>
      </c>
      <c r="C64">
        <f t="shared" si="2"/>
        <v>7.9</v>
      </c>
      <c r="D64">
        <f t="shared" si="3"/>
        <v>59.840000000000018</v>
      </c>
      <c r="E64">
        <f t="shared" si="4"/>
        <v>14.569999999999999</v>
      </c>
      <c r="F64">
        <f t="shared" si="0"/>
        <v>3.9700000000000015</v>
      </c>
    </row>
    <row r="65" spans="1:6" x14ac:dyDescent="0.25">
      <c r="A65">
        <v>58</v>
      </c>
      <c r="B65">
        <f t="shared" si="1"/>
        <v>0.19</v>
      </c>
      <c r="C65">
        <f t="shared" si="2"/>
        <v>7.8</v>
      </c>
      <c r="D65">
        <f t="shared" si="3"/>
        <v>60.280000000000015</v>
      </c>
      <c r="E65">
        <f t="shared" si="4"/>
        <v>15.009999999999998</v>
      </c>
      <c r="F65">
        <f t="shared" si="0"/>
        <v>3.6700000000000013</v>
      </c>
    </row>
    <row r="66" spans="1:6" x14ac:dyDescent="0.25">
      <c r="A66">
        <v>59</v>
      </c>
      <c r="B66">
        <f t="shared" si="1"/>
        <v>0.18</v>
      </c>
      <c r="C66">
        <f t="shared" si="2"/>
        <v>7.7</v>
      </c>
      <c r="D66">
        <f t="shared" si="3"/>
        <v>60.710000000000015</v>
      </c>
      <c r="E66">
        <f t="shared" si="4"/>
        <v>15.439999999999998</v>
      </c>
      <c r="F66">
        <f t="shared" si="0"/>
        <v>3.3800000000000012</v>
      </c>
    </row>
    <row r="67" spans="1:6" x14ac:dyDescent="0.25">
      <c r="A67">
        <v>60</v>
      </c>
      <c r="B67">
        <f t="shared" si="1"/>
        <v>0.17</v>
      </c>
      <c r="C67">
        <f t="shared" si="2"/>
        <v>7.6</v>
      </c>
      <c r="D67">
        <f t="shared" si="3"/>
        <v>61.130000000000017</v>
      </c>
      <c r="E67">
        <f t="shared" si="4"/>
        <v>15.859999999999998</v>
      </c>
      <c r="F67">
        <f t="shared" si="0"/>
        <v>3.100000000000001</v>
      </c>
    </row>
    <row r="68" spans="1:6" x14ac:dyDescent="0.25">
      <c r="A68">
        <v>61</v>
      </c>
      <c r="B68">
        <f t="shared" ref="B68:B79" si="6">ROUND($B$2*POWER(2,-A68/17),2)</f>
        <v>0.17</v>
      </c>
      <c r="C68">
        <f t="shared" ref="C68:C79" si="7">ROUND($B$3+$B$5*POWER(2,-A68/12),1)</f>
        <v>7.5</v>
      </c>
      <c r="D68">
        <f t="shared" ref="D68:D79" si="8">D67+B68+$D$2</f>
        <v>61.550000000000018</v>
      </c>
      <c r="E68">
        <f t="shared" ref="E68:E79" si="9">IF(C68 &gt; $D$3, 0, IF(E67+B68+$D$2 &gt; $D$5, B68+$D$2, E67+B68+$D$2))</f>
        <v>16.279999999999998</v>
      </c>
      <c r="F68">
        <f t="shared" ref="F68:F79" si="10">IF(C68 &gt; $D$4, 0, F69+B68+$G$2)</f>
        <v>2.830000000000001</v>
      </c>
    </row>
    <row r="69" spans="1:6" x14ac:dyDescent="0.25">
      <c r="A69">
        <v>62</v>
      </c>
      <c r="B69">
        <f t="shared" si="6"/>
        <v>0.16</v>
      </c>
      <c r="C69">
        <f t="shared" si="7"/>
        <v>7.4</v>
      </c>
      <c r="D69">
        <f t="shared" si="8"/>
        <v>61.960000000000015</v>
      </c>
      <c r="E69">
        <f t="shared" si="9"/>
        <v>16.689999999999998</v>
      </c>
      <c r="F69">
        <f t="shared" si="10"/>
        <v>2.5600000000000009</v>
      </c>
    </row>
    <row r="70" spans="1:6" x14ac:dyDescent="0.25">
      <c r="A70">
        <v>63</v>
      </c>
      <c r="B70">
        <f t="shared" si="6"/>
        <v>0.15</v>
      </c>
      <c r="C70">
        <f t="shared" si="7"/>
        <v>7.3</v>
      </c>
      <c r="D70">
        <f t="shared" si="8"/>
        <v>62.360000000000014</v>
      </c>
      <c r="E70">
        <f t="shared" si="9"/>
        <v>17.089999999999996</v>
      </c>
      <c r="F70">
        <f t="shared" si="10"/>
        <v>2.3000000000000007</v>
      </c>
    </row>
    <row r="71" spans="1:6" x14ac:dyDescent="0.25">
      <c r="A71">
        <v>64</v>
      </c>
      <c r="B71">
        <f t="shared" si="6"/>
        <v>0.15</v>
      </c>
      <c r="C71">
        <f t="shared" si="7"/>
        <v>7.2</v>
      </c>
      <c r="D71">
        <f t="shared" si="8"/>
        <v>62.760000000000012</v>
      </c>
      <c r="E71">
        <f t="shared" si="9"/>
        <v>17.489999999999995</v>
      </c>
      <c r="F71">
        <f t="shared" si="10"/>
        <v>2.0500000000000007</v>
      </c>
    </row>
    <row r="72" spans="1:6" x14ac:dyDescent="0.25">
      <c r="A72">
        <v>65</v>
      </c>
      <c r="B72">
        <f t="shared" si="6"/>
        <v>0.14000000000000001</v>
      </c>
      <c r="C72">
        <f t="shared" si="7"/>
        <v>7.2</v>
      </c>
      <c r="D72">
        <f t="shared" si="8"/>
        <v>63.150000000000013</v>
      </c>
      <c r="E72">
        <f t="shared" si="9"/>
        <v>17.879999999999995</v>
      </c>
      <c r="F72">
        <f t="shared" si="10"/>
        <v>1.8000000000000007</v>
      </c>
    </row>
    <row r="73" spans="1:6" x14ac:dyDescent="0.25">
      <c r="A73">
        <v>66</v>
      </c>
      <c r="B73">
        <f t="shared" si="6"/>
        <v>0.14000000000000001</v>
      </c>
      <c r="C73">
        <f t="shared" si="7"/>
        <v>7.1</v>
      </c>
      <c r="D73">
        <f t="shared" si="8"/>
        <v>63.540000000000013</v>
      </c>
      <c r="E73">
        <f t="shared" si="9"/>
        <v>18.269999999999996</v>
      </c>
      <c r="F73">
        <f t="shared" si="10"/>
        <v>1.5600000000000005</v>
      </c>
    </row>
    <row r="74" spans="1:6" x14ac:dyDescent="0.25">
      <c r="A74">
        <v>67</v>
      </c>
      <c r="B74">
        <f t="shared" si="6"/>
        <v>0.13</v>
      </c>
      <c r="C74">
        <f t="shared" si="7"/>
        <v>7</v>
      </c>
      <c r="D74">
        <f t="shared" si="8"/>
        <v>63.920000000000016</v>
      </c>
      <c r="E74">
        <f t="shared" si="9"/>
        <v>18.649999999999995</v>
      </c>
      <c r="F74">
        <f t="shared" si="10"/>
        <v>1.3200000000000003</v>
      </c>
    </row>
    <row r="75" spans="1:6" x14ac:dyDescent="0.25">
      <c r="A75">
        <v>68</v>
      </c>
      <c r="B75">
        <f t="shared" si="6"/>
        <v>0.13</v>
      </c>
      <c r="C75">
        <f t="shared" si="7"/>
        <v>7</v>
      </c>
      <c r="D75">
        <f t="shared" si="8"/>
        <v>64.300000000000011</v>
      </c>
      <c r="E75">
        <f t="shared" si="9"/>
        <v>19.029999999999994</v>
      </c>
      <c r="F75">
        <f t="shared" si="10"/>
        <v>1.0900000000000001</v>
      </c>
    </row>
    <row r="76" spans="1:6" x14ac:dyDescent="0.25">
      <c r="A76">
        <v>69</v>
      </c>
      <c r="B76">
        <f t="shared" si="6"/>
        <v>0.12</v>
      </c>
      <c r="C76">
        <f t="shared" si="7"/>
        <v>6.9</v>
      </c>
      <c r="D76">
        <f t="shared" si="8"/>
        <v>64.670000000000016</v>
      </c>
      <c r="E76">
        <f t="shared" si="9"/>
        <v>19.399999999999995</v>
      </c>
      <c r="F76">
        <f t="shared" si="10"/>
        <v>0.86</v>
      </c>
    </row>
    <row r="77" spans="1:6" x14ac:dyDescent="0.25">
      <c r="A77">
        <v>70</v>
      </c>
      <c r="B77">
        <f t="shared" si="6"/>
        <v>0.12</v>
      </c>
      <c r="C77">
        <f t="shared" si="7"/>
        <v>6.9</v>
      </c>
      <c r="D77">
        <f t="shared" si="8"/>
        <v>65.04000000000002</v>
      </c>
      <c r="E77">
        <f t="shared" si="9"/>
        <v>19.769999999999996</v>
      </c>
      <c r="F77">
        <f t="shared" si="10"/>
        <v>0.64</v>
      </c>
    </row>
    <row r="78" spans="1:6" x14ac:dyDescent="0.25">
      <c r="A78">
        <v>71</v>
      </c>
      <c r="B78">
        <f t="shared" si="6"/>
        <v>0.11</v>
      </c>
      <c r="C78">
        <f t="shared" si="7"/>
        <v>6.8</v>
      </c>
      <c r="D78">
        <f t="shared" si="8"/>
        <v>65.40000000000002</v>
      </c>
      <c r="E78">
        <f t="shared" si="9"/>
        <v>20.129999999999995</v>
      </c>
      <c r="F78">
        <f t="shared" si="10"/>
        <v>0.42000000000000004</v>
      </c>
    </row>
    <row r="79" spans="1:6" x14ac:dyDescent="0.25">
      <c r="A79">
        <v>72</v>
      </c>
      <c r="B79">
        <f t="shared" si="6"/>
        <v>0.11</v>
      </c>
      <c r="C79">
        <f t="shared" si="7"/>
        <v>6.8</v>
      </c>
      <c r="D79">
        <f t="shared" si="8"/>
        <v>65.760000000000019</v>
      </c>
      <c r="E79">
        <f t="shared" si="9"/>
        <v>20.489999999999995</v>
      </c>
      <c r="F79">
        <f t="shared" si="10"/>
        <v>0.21000000000000002</v>
      </c>
    </row>
  </sheetData>
  <conditionalFormatting sqref="E7:E79">
    <cfRule type="cellIs" dxfId="4" priority="1" operator="lessThan">
      <formula>6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54BA7-091A-412D-B2EB-BD231F0C0FB8}">
  <dimension ref="A2:Q67"/>
  <sheetViews>
    <sheetView topLeftCell="A7" workbookViewId="0">
      <selection activeCell="K16" sqref="K16"/>
    </sheetView>
  </sheetViews>
  <sheetFormatPr defaultRowHeight="15" x14ac:dyDescent="0.25"/>
  <cols>
    <col min="1" max="1" width="15.28515625" customWidth="1"/>
  </cols>
  <sheetData>
    <row r="2" spans="1:17" x14ac:dyDescent="0.25">
      <c r="A2" t="s">
        <v>3</v>
      </c>
      <c r="B2">
        <v>6.25</v>
      </c>
      <c r="C2" t="s">
        <v>7</v>
      </c>
      <c r="D2">
        <v>0.25</v>
      </c>
      <c r="G2">
        <v>0.1</v>
      </c>
    </row>
    <row r="3" spans="1:17" x14ac:dyDescent="0.25">
      <c r="A3" t="s">
        <v>0</v>
      </c>
      <c r="B3">
        <v>6</v>
      </c>
      <c r="C3" t="s">
        <v>9</v>
      </c>
      <c r="D3">
        <v>120</v>
      </c>
    </row>
    <row r="4" spans="1:17" x14ac:dyDescent="0.25">
      <c r="A4" t="s">
        <v>1</v>
      </c>
      <c r="B4">
        <v>110</v>
      </c>
      <c r="C4" t="s">
        <v>11</v>
      </c>
      <c r="D4">
        <v>18</v>
      </c>
    </row>
    <row r="5" spans="1:17" x14ac:dyDescent="0.25">
      <c r="A5" t="s">
        <v>5</v>
      </c>
      <c r="B5">
        <f>B4-B3</f>
        <v>104</v>
      </c>
      <c r="C5" t="s">
        <v>12</v>
      </c>
      <c r="D5">
        <v>23</v>
      </c>
    </row>
    <row r="6" spans="1:17" x14ac:dyDescent="0.25">
      <c r="A6" t="s">
        <v>2</v>
      </c>
      <c r="B6" t="s">
        <v>4</v>
      </c>
      <c r="C6" t="s">
        <v>6</v>
      </c>
      <c r="D6" t="s">
        <v>8</v>
      </c>
      <c r="F6" t="s">
        <v>10</v>
      </c>
      <c r="G6" t="s">
        <v>13</v>
      </c>
    </row>
    <row r="7" spans="1:17" x14ac:dyDescent="0.25">
      <c r="A7">
        <v>0</v>
      </c>
      <c r="B7">
        <f>ROUND($B$2*POWER(2,-A7/17),2)</f>
        <v>6.25</v>
      </c>
      <c r="C7">
        <f>ROUND($B$3+$B$5*POWER(2,-A7/12),1)</f>
        <v>110</v>
      </c>
      <c r="D7">
        <f>B7+$D$2</f>
        <v>6.5</v>
      </c>
      <c r="E7">
        <f>IF(C7 &gt; $D$3, 0, B7+$D$2)</f>
        <v>6.5</v>
      </c>
      <c r="F7">
        <f t="shared" ref="F7:F67" si="0">IF(C7 &gt; $D$4, 0, F8+B7+$G$2)</f>
        <v>0</v>
      </c>
    </row>
    <row r="8" spans="1:17" x14ac:dyDescent="0.25">
      <c r="A8">
        <v>1</v>
      </c>
      <c r="B8">
        <f t="shared" ref="B8:B68" si="1">ROUND($B$2*POWER(2,-A8/17),2)</f>
        <v>6</v>
      </c>
      <c r="C8">
        <f t="shared" ref="C8:C68" si="2">ROUND($B$3+$B$5*POWER(2,-A8/12),1)</f>
        <v>104.2</v>
      </c>
      <c r="D8">
        <f>D7+B8+$D$2</f>
        <v>12.75</v>
      </c>
      <c r="E8">
        <f>IF(C8 &gt; $D$3, 0, IF(E7+B8+$D$2 &gt; $D$5, B8+$D$2, E7+B8+$D$2))</f>
        <v>12.75</v>
      </c>
      <c r="F8">
        <f t="shared" si="0"/>
        <v>0</v>
      </c>
      <c r="G8">
        <f>C8+C7</f>
        <v>214.2</v>
      </c>
      <c r="K8" t="s">
        <v>14</v>
      </c>
      <c r="L8" t="s">
        <v>20</v>
      </c>
      <c r="M8" t="s">
        <v>16</v>
      </c>
      <c r="N8" t="s">
        <v>17</v>
      </c>
      <c r="O8" t="s">
        <v>18</v>
      </c>
      <c r="P8" t="s">
        <v>19</v>
      </c>
      <c r="Q8" t="s">
        <v>21</v>
      </c>
    </row>
    <row r="9" spans="1:17" x14ac:dyDescent="0.25">
      <c r="A9">
        <v>2</v>
      </c>
      <c r="B9">
        <f t="shared" si="1"/>
        <v>5.76</v>
      </c>
      <c r="C9">
        <f t="shared" si="2"/>
        <v>98.7</v>
      </c>
      <c r="D9">
        <f t="shared" ref="D9:D67" si="3">D8+B9+$D$2</f>
        <v>18.759999999999998</v>
      </c>
      <c r="E9">
        <f t="shared" ref="E9:E67" si="4">IF(C9 &gt; $D$3, 0, IF(E8+B9+$D$2 &gt; $D$5, B9+$D$2, E8+B9+$D$2))</f>
        <v>18.759999999999998</v>
      </c>
      <c r="F9">
        <f t="shared" si="0"/>
        <v>0</v>
      </c>
      <c r="G9">
        <f t="shared" ref="G9:G44" si="5">C9+C8</f>
        <v>202.9</v>
      </c>
      <c r="K9" t="s">
        <v>29</v>
      </c>
      <c r="L9">
        <v>18.760000000000002</v>
      </c>
      <c r="M9">
        <v>110</v>
      </c>
      <c r="N9">
        <v>98.7</v>
      </c>
      <c r="O9">
        <v>6.25</v>
      </c>
      <c r="P9">
        <v>5.76</v>
      </c>
      <c r="Q9">
        <v>3</v>
      </c>
    </row>
    <row r="10" spans="1:17" x14ac:dyDescent="0.25">
      <c r="A10">
        <v>3</v>
      </c>
      <c r="B10">
        <f t="shared" si="1"/>
        <v>5.53</v>
      </c>
      <c r="C10">
        <f t="shared" si="2"/>
        <v>93.5</v>
      </c>
      <c r="D10">
        <f t="shared" si="3"/>
        <v>24.54</v>
      </c>
      <c r="E10">
        <f t="shared" si="4"/>
        <v>5.78</v>
      </c>
      <c r="F10">
        <f t="shared" si="0"/>
        <v>0</v>
      </c>
      <c r="G10">
        <f t="shared" si="5"/>
        <v>192.2</v>
      </c>
      <c r="K10" t="s">
        <v>30</v>
      </c>
      <c r="L10">
        <v>21.83</v>
      </c>
      <c r="M10">
        <v>93.5</v>
      </c>
      <c r="N10">
        <v>79.5</v>
      </c>
      <c r="O10">
        <v>5.53</v>
      </c>
      <c r="P10">
        <v>4.8899999999999997</v>
      </c>
      <c r="Q10">
        <v>4</v>
      </c>
    </row>
    <row r="11" spans="1:17" x14ac:dyDescent="0.25">
      <c r="A11">
        <v>4</v>
      </c>
      <c r="B11">
        <f t="shared" si="1"/>
        <v>5.31</v>
      </c>
      <c r="C11">
        <f t="shared" si="2"/>
        <v>88.5</v>
      </c>
      <c r="D11">
        <f t="shared" si="3"/>
        <v>30.099999999999998</v>
      </c>
      <c r="E11">
        <f t="shared" si="4"/>
        <v>11.34</v>
      </c>
      <c r="F11">
        <f t="shared" si="0"/>
        <v>0</v>
      </c>
      <c r="G11">
        <f t="shared" si="5"/>
        <v>182</v>
      </c>
      <c r="K11" t="s">
        <v>31</v>
      </c>
      <c r="L11">
        <v>22.94</v>
      </c>
      <c r="M11">
        <v>75.400000000000006</v>
      </c>
      <c r="N11">
        <v>61.1</v>
      </c>
      <c r="O11">
        <v>4.7</v>
      </c>
      <c r="P11">
        <v>3.99</v>
      </c>
      <c r="Q11">
        <v>5</v>
      </c>
    </row>
    <row r="12" spans="1:17" x14ac:dyDescent="0.25">
      <c r="A12">
        <v>5</v>
      </c>
      <c r="B12">
        <f t="shared" si="1"/>
        <v>5.0999999999999996</v>
      </c>
      <c r="C12">
        <f t="shared" si="2"/>
        <v>83.9</v>
      </c>
      <c r="D12">
        <f t="shared" si="3"/>
        <v>35.449999999999996</v>
      </c>
      <c r="E12">
        <f t="shared" si="4"/>
        <v>16.689999999999998</v>
      </c>
      <c r="F12">
        <f t="shared" si="0"/>
        <v>0</v>
      </c>
      <c r="G12">
        <f t="shared" si="5"/>
        <v>172.4</v>
      </c>
      <c r="K12" t="s">
        <v>32</v>
      </c>
      <c r="L12">
        <v>22.32</v>
      </c>
      <c r="M12">
        <v>58</v>
      </c>
      <c r="N12">
        <v>45</v>
      </c>
      <c r="O12">
        <v>3.83</v>
      </c>
      <c r="P12">
        <v>3.13</v>
      </c>
      <c r="Q12">
        <v>6</v>
      </c>
    </row>
    <row r="13" spans="1:17" x14ac:dyDescent="0.25">
      <c r="A13">
        <v>6</v>
      </c>
      <c r="B13">
        <f t="shared" si="1"/>
        <v>4.8899999999999997</v>
      </c>
      <c r="C13">
        <f t="shared" si="2"/>
        <v>79.5</v>
      </c>
      <c r="D13">
        <f t="shared" si="3"/>
        <v>40.589999999999996</v>
      </c>
      <c r="E13">
        <f t="shared" si="4"/>
        <v>21.83</v>
      </c>
      <c r="F13">
        <f t="shared" si="0"/>
        <v>0</v>
      </c>
      <c r="G13">
        <f t="shared" si="5"/>
        <v>163.4</v>
      </c>
      <c r="K13" t="s">
        <v>33</v>
      </c>
      <c r="L13">
        <v>22.91</v>
      </c>
      <c r="M13">
        <v>42.8</v>
      </c>
      <c r="N13">
        <v>30.5</v>
      </c>
      <c r="O13">
        <v>3</v>
      </c>
      <c r="P13">
        <v>2.2599999999999998</v>
      </c>
      <c r="Q13">
        <v>8</v>
      </c>
    </row>
    <row r="14" spans="1:17" x14ac:dyDescent="0.25">
      <c r="A14">
        <v>7</v>
      </c>
      <c r="B14">
        <f t="shared" si="1"/>
        <v>4.7</v>
      </c>
      <c r="C14">
        <f t="shared" si="2"/>
        <v>75.400000000000006</v>
      </c>
      <c r="D14">
        <f t="shared" si="3"/>
        <v>45.54</v>
      </c>
      <c r="E14">
        <f t="shared" si="4"/>
        <v>4.95</v>
      </c>
      <c r="F14">
        <f t="shared" si="0"/>
        <v>0</v>
      </c>
      <c r="G14">
        <f t="shared" si="5"/>
        <v>154.9</v>
      </c>
      <c r="K14" t="s">
        <v>34</v>
      </c>
      <c r="L14">
        <v>23</v>
      </c>
      <c r="M14">
        <v>29.2</v>
      </c>
      <c r="N14">
        <v>18.3</v>
      </c>
      <c r="O14">
        <v>2.17</v>
      </c>
      <c r="P14">
        <v>1.38</v>
      </c>
      <c r="Q14">
        <v>12</v>
      </c>
    </row>
    <row r="15" spans="1:17" x14ac:dyDescent="0.25">
      <c r="A15">
        <v>8</v>
      </c>
      <c r="B15">
        <f t="shared" si="1"/>
        <v>4.51</v>
      </c>
      <c r="C15">
        <f t="shared" si="2"/>
        <v>71.5</v>
      </c>
      <c r="D15">
        <f t="shared" si="3"/>
        <v>50.3</v>
      </c>
      <c r="E15">
        <f t="shared" si="4"/>
        <v>9.7100000000000009</v>
      </c>
      <c r="F15">
        <f t="shared" si="0"/>
        <v>0</v>
      </c>
      <c r="G15">
        <f t="shared" si="5"/>
        <v>146.9</v>
      </c>
      <c r="K15" t="s">
        <v>35</v>
      </c>
      <c r="L15">
        <v>22.5</v>
      </c>
      <c r="M15">
        <v>17.600000000000001</v>
      </c>
      <c r="N15">
        <v>9.3000000000000007</v>
      </c>
      <c r="O15">
        <v>1.33</v>
      </c>
      <c r="P15">
        <v>0.54</v>
      </c>
      <c r="Q15">
        <v>23</v>
      </c>
    </row>
    <row r="16" spans="1:17" x14ac:dyDescent="0.25">
      <c r="A16">
        <v>9</v>
      </c>
      <c r="B16">
        <f t="shared" si="1"/>
        <v>4.33</v>
      </c>
      <c r="C16">
        <f t="shared" si="2"/>
        <v>67.8</v>
      </c>
      <c r="D16">
        <f t="shared" si="3"/>
        <v>54.879999999999995</v>
      </c>
      <c r="E16">
        <f t="shared" si="4"/>
        <v>14.290000000000001</v>
      </c>
      <c r="F16">
        <f t="shared" si="0"/>
        <v>0</v>
      </c>
      <c r="G16">
        <f t="shared" si="5"/>
        <v>139.30000000000001</v>
      </c>
    </row>
    <row r="17" spans="1:7" x14ac:dyDescent="0.25">
      <c r="A17">
        <v>10</v>
      </c>
      <c r="B17">
        <f t="shared" si="1"/>
        <v>4.16</v>
      </c>
      <c r="C17">
        <f t="shared" si="2"/>
        <v>64.400000000000006</v>
      </c>
      <c r="D17">
        <f t="shared" si="3"/>
        <v>59.289999999999992</v>
      </c>
      <c r="E17">
        <f t="shared" si="4"/>
        <v>18.700000000000003</v>
      </c>
      <c r="F17">
        <f t="shared" si="0"/>
        <v>0</v>
      </c>
      <c r="G17">
        <f t="shared" si="5"/>
        <v>132.19999999999999</v>
      </c>
    </row>
    <row r="18" spans="1:7" x14ac:dyDescent="0.25">
      <c r="A18">
        <v>11</v>
      </c>
      <c r="B18">
        <f t="shared" si="1"/>
        <v>3.99</v>
      </c>
      <c r="C18">
        <f t="shared" si="2"/>
        <v>61.1</v>
      </c>
      <c r="D18">
        <f t="shared" si="3"/>
        <v>63.529999999999994</v>
      </c>
      <c r="E18">
        <f t="shared" si="4"/>
        <v>22.940000000000005</v>
      </c>
      <c r="F18">
        <f t="shared" si="0"/>
        <v>0</v>
      </c>
      <c r="G18">
        <f t="shared" si="5"/>
        <v>125.5</v>
      </c>
    </row>
    <row r="19" spans="1:7" x14ac:dyDescent="0.25">
      <c r="A19">
        <v>12</v>
      </c>
      <c r="B19">
        <f t="shared" si="1"/>
        <v>3.83</v>
      </c>
      <c r="C19">
        <f t="shared" si="2"/>
        <v>58</v>
      </c>
      <c r="D19">
        <f t="shared" si="3"/>
        <v>67.61</v>
      </c>
      <c r="E19">
        <f t="shared" si="4"/>
        <v>4.08</v>
      </c>
      <c r="F19">
        <f t="shared" si="0"/>
        <v>0</v>
      </c>
      <c r="G19">
        <f t="shared" si="5"/>
        <v>119.1</v>
      </c>
    </row>
    <row r="20" spans="1:7" x14ac:dyDescent="0.25">
      <c r="A20">
        <v>13</v>
      </c>
      <c r="B20">
        <f t="shared" si="1"/>
        <v>3.68</v>
      </c>
      <c r="C20">
        <f t="shared" si="2"/>
        <v>55.1</v>
      </c>
      <c r="D20">
        <f t="shared" si="3"/>
        <v>71.540000000000006</v>
      </c>
      <c r="E20">
        <f t="shared" si="4"/>
        <v>8.01</v>
      </c>
      <c r="F20">
        <f t="shared" si="0"/>
        <v>0</v>
      </c>
      <c r="G20">
        <f t="shared" si="5"/>
        <v>113.1</v>
      </c>
    </row>
    <row r="21" spans="1:7" x14ac:dyDescent="0.25">
      <c r="A21">
        <v>14</v>
      </c>
      <c r="B21">
        <f t="shared" si="1"/>
        <v>3.53</v>
      </c>
      <c r="C21">
        <f t="shared" si="2"/>
        <v>52.3</v>
      </c>
      <c r="D21">
        <f t="shared" si="3"/>
        <v>75.320000000000007</v>
      </c>
      <c r="E21">
        <f t="shared" si="4"/>
        <v>11.79</v>
      </c>
      <c r="F21">
        <f t="shared" si="0"/>
        <v>0</v>
      </c>
      <c r="G21">
        <f t="shared" si="5"/>
        <v>107.4</v>
      </c>
    </row>
    <row r="22" spans="1:7" x14ac:dyDescent="0.25">
      <c r="A22">
        <v>15</v>
      </c>
      <c r="B22">
        <f t="shared" si="1"/>
        <v>3.39</v>
      </c>
      <c r="C22">
        <f t="shared" si="2"/>
        <v>49.7</v>
      </c>
      <c r="D22">
        <f t="shared" si="3"/>
        <v>78.960000000000008</v>
      </c>
      <c r="E22">
        <f t="shared" si="4"/>
        <v>15.43</v>
      </c>
      <c r="F22">
        <f t="shared" si="0"/>
        <v>0</v>
      </c>
      <c r="G22">
        <f t="shared" si="5"/>
        <v>102</v>
      </c>
    </row>
    <row r="23" spans="1:7" x14ac:dyDescent="0.25">
      <c r="A23">
        <v>16</v>
      </c>
      <c r="B23">
        <f t="shared" si="1"/>
        <v>3.26</v>
      </c>
      <c r="C23">
        <f t="shared" si="2"/>
        <v>47.3</v>
      </c>
      <c r="D23">
        <f t="shared" si="3"/>
        <v>82.470000000000013</v>
      </c>
      <c r="E23">
        <f t="shared" si="4"/>
        <v>18.939999999999998</v>
      </c>
      <c r="F23">
        <f t="shared" si="0"/>
        <v>0</v>
      </c>
      <c r="G23">
        <f t="shared" si="5"/>
        <v>97</v>
      </c>
    </row>
    <row r="24" spans="1:7" x14ac:dyDescent="0.25">
      <c r="A24">
        <v>17</v>
      </c>
      <c r="B24">
        <f t="shared" si="1"/>
        <v>3.13</v>
      </c>
      <c r="C24">
        <f t="shared" si="2"/>
        <v>45</v>
      </c>
      <c r="D24">
        <f t="shared" si="3"/>
        <v>85.850000000000009</v>
      </c>
      <c r="E24">
        <f t="shared" si="4"/>
        <v>22.319999999999997</v>
      </c>
      <c r="F24">
        <f t="shared" si="0"/>
        <v>0</v>
      </c>
      <c r="G24">
        <f t="shared" si="5"/>
        <v>92.3</v>
      </c>
    </row>
    <row r="25" spans="1:7" x14ac:dyDescent="0.25">
      <c r="A25">
        <v>18</v>
      </c>
      <c r="B25">
        <f t="shared" si="1"/>
        <v>3</v>
      </c>
      <c r="C25">
        <f t="shared" si="2"/>
        <v>42.8</v>
      </c>
      <c r="D25">
        <f t="shared" si="3"/>
        <v>89.100000000000009</v>
      </c>
      <c r="E25">
        <f t="shared" si="4"/>
        <v>3.25</v>
      </c>
      <c r="F25">
        <f t="shared" si="0"/>
        <v>0</v>
      </c>
      <c r="G25">
        <f t="shared" si="5"/>
        <v>87.8</v>
      </c>
    </row>
    <row r="26" spans="1:7" x14ac:dyDescent="0.25">
      <c r="A26">
        <v>19</v>
      </c>
      <c r="B26">
        <f t="shared" si="1"/>
        <v>2.88</v>
      </c>
      <c r="C26">
        <f t="shared" si="2"/>
        <v>40.700000000000003</v>
      </c>
      <c r="D26">
        <f t="shared" si="3"/>
        <v>92.23</v>
      </c>
      <c r="E26">
        <f t="shared" si="4"/>
        <v>6.38</v>
      </c>
      <c r="F26">
        <f t="shared" si="0"/>
        <v>0</v>
      </c>
      <c r="G26">
        <f t="shared" si="5"/>
        <v>83.5</v>
      </c>
    </row>
    <row r="27" spans="1:7" x14ac:dyDescent="0.25">
      <c r="A27">
        <v>20</v>
      </c>
      <c r="B27">
        <f t="shared" si="1"/>
        <v>2.77</v>
      </c>
      <c r="C27">
        <f t="shared" si="2"/>
        <v>38.799999999999997</v>
      </c>
      <c r="D27">
        <f t="shared" si="3"/>
        <v>95.25</v>
      </c>
      <c r="E27">
        <f t="shared" si="4"/>
        <v>9.4</v>
      </c>
      <c r="F27">
        <f t="shared" si="0"/>
        <v>0</v>
      </c>
      <c r="G27">
        <f t="shared" si="5"/>
        <v>79.5</v>
      </c>
    </row>
    <row r="28" spans="1:7" x14ac:dyDescent="0.25">
      <c r="A28">
        <v>21</v>
      </c>
      <c r="B28">
        <f t="shared" si="1"/>
        <v>2.65</v>
      </c>
      <c r="C28">
        <f t="shared" si="2"/>
        <v>36.9</v>
      </c>
      <c r="D28">
        <f t="shared" si="3"/>
        <v>98.15</v>
      </c>
      <c r="E28">
        <f t="shared" si="4"/>
        <v>12.3</v>
      </c>
      <c r="F28">
        <f t="shared" si="0"/>
        <v>0</v>
      </c>
      <c r="G28">
        <f t="shared" si="5"/>
        <v>75.699999999999989</v>
      </c>
    </row>
    <row r="29" spans="1:7" x14ac:dyDescent="0.25">
      <c r="A29">
        <v>22</v>
      </c>
      <c r="B29">
        <f t="shared" si="1"/>
        <v>2.5499999999999998</v>
      </c>
      <c r="C29">
        <f t="shared" si="2"/>
        <v>35.200000000000003</v>
      </c>
      <c r="D29">
        <f t="shared" si="3"/>
        <v>100.95</v>
      </c>
      <c r="E29">
        <f t="shared" si="4"/>
        <v>15.100000000000001</v>
      </c>
      <c r="F29">
        <f t="shared" si="0"/>
        <v>0</v>
      </c>
      <c r="G29">
        <f t="shared" si="5"/>
        <v>72.099999999999994</v>
      </c>
    </row>
    <row r="30" spans="1:7" x14ac:dyDescent="0.25">
      <c r="A30">
        <v>23</v>
      </c>
      <c r="B30">
        <f t="shared" si="1"/>
        <v>2.4500000000000002</v>
      </c>
      <c r="C30">
        <f t="shared" si="2"/>
        <v>33.5</v>
      </c>
      <c r="D30">
        <f t="shared" si="3"/>
        <v>103.65</v>
      </c>
      <c r="E30">
        <f t="shared" si="4"/>
        <v>17.8</v>
      </c>
      <c r="F30">
        <f t="shared" si="0"/>
        <v>0</v>
      </c>
      <c r="G30">
        <f t="shared" si="5"/>
        <v>68.7</v>
      </c>
    </row>
    <row r="31" spans="1:7" x14ac:dyDescent="0.25">
      <c r="A31">
        <v>24</v>
      </c>
      <c r="B31">
        <f t="shared" si="1"/>
        <v>2.35</v>
      </c>
      <c r="C31">
        <f t="shared" si="2"/>
        <v>32</v>
      </c>
      <c r="D31">
        <f t="shared" si="3"/>
        <v>106.25</v>
      </c>
      <c r="E31">
        <f t="shared" si="4"/>
        <v>20.400000000000002</v>
      </c>
      <c r="F31">
        <f t="shared" si="0"/>
        <v>0</v>
      </c>
      <c r="G31">
        <f t="shared" si="5"/>
        <v>65.5</v>
      </c>
    </row>
    <row r="32" spans="1:7" x14ac:dyDescent="0.25">
      <c r="A32">
        <v>25</v>
      </c>
      <c r="B32">
        <f t="shared" si="1"/>
        <v>2.2599999999999998</v>
      </c>
      <c r="C32">
        <f t="shared" si="2"/>
        <v>30.5</v>
      </c>
      <c r="D32">
        <f t="shared" si="3"/>
        <v>108.76</v>
      </c>
      <c r="E32">
        <f t="shared" si="4"/>
        <v>22.910000000000004</v>
      </c>
      <c r="F32">
        <f t="shared" si="0"/>
        <v>0</v>
      </c>
      <c r="G32">
        <f t="shared" si="5"/>
        <v>62.5</v>
      </c>
    </row>
    <row r="33" spans="1:7" x14ac:dyDescent="0.25">
      <c r="A33">
        <v>26</v>
      </c>
      <c r="B33">
        <f t="shared" si="1"/>
        <v>2.17</v>
      </c>
      <c r="C33">
        <f t="shared" si="2"/>
        <v>29.2</v>
      </c>
      <c r="D33">
        <f t="shared" si="3"/>
        <v>111.18</v>
      </c>
      <c r="E33">
        <f t="shared" si="4"/>
        <v>2.42</v>
      </c>
      <c r="F33">
        <f t="shared" si="0"/>
        <v>0</v>
      </c>
      <c r="G33">
        <f t="shared" si="5"/>
        <v>59.7</v>
      </c>
    </row>
    <row r="34" spans="1:7" x14ac:dyDescent="0.25">
      <c r="A34">
        <v>27</v>
      </c>
      <c r="B34">
        <f t="shared" si="1"/>
        <v>2.08</v>
      </c>
      <c r="C34">
        <f t="shared" si="2"/>
        <v>27.9</v>
      </c>
      <c r="D34">
        <f t="shared" si="3"/>
        <v>113.51</v>
      </c>
      <c r="E34">
        <f t="shared" si="4"/>
        <v>4.75</v>
      </c>
      <c r="F34">
        <f t="shared" si="0"/>
        <v>0</v>
      </c>
      <c r="G34">
        <f t="shared" si="5"/>
        <v>57.099999999999994</v>
      </c>
    </row>
    <row r="35" spans="1:7" x14ac:dyDescent="0.25">
      <c r="A35">
        <v>28</v>
      </c>
      <c r="B35">
        <f t="shared" si="1"/>
        <v>2</v>
      </c>
      <c r="C35">
        <f t="shared" si="2"/>
        <v>26.6</v>
      </c>
      <c r="D35">
        <f t="shared" si="3"/>
        <v>115.76</v>
      </c>
      <c r="E35">
        <f t="shared" si="4"/>
        <v>7</v>
      </c>
      <c r="F35">
        <f t="shared" si="0"/>
        <v>0</v>
      </c>
      <c r="G35">
        <f t="shared" si="5"/>
        <v>54.5</v>
      </c>
    </row>
    <row r="36" spans="1:7" x14ac:dyDescent="0.25">
      <c r="A36">
        <v>29</v>
      </c>
      <c r="B36">
        <f t="shared" si="1"/>
        <v>1.92</v>
      </c>
      <c r="C36">
        <f t="shared" si="2"/>
        <v>25.5</v>
      </c>
      <c r="D36">
        <f t="shared" si="3"/>
        <v>117.93</v>
      </c>
      <c r="E36">
        <f t="shared" si="4"/>
        <v>9.17</v>
      </c>
      <c r="F36">
        <f t="shared" si="0"/>
        <v>0</v>
      </c>
      <c r="G36">
        <f t="shared" si="5"/>
        <v>52.1</v>
      </c>
    </row>
    <row r="37" spans="1:7" x14ac:dyDescent="0.25">
      <c r="A37">
        <v>30</v>
      </c>
      <c r="B37">
        <f t="shared" si="1"/>
        <v>1.84</v>
      </c>
      <c r="C37">
        <f t="shared" si="2"/>
        <v>24.4</v>
      </c>
      <c r="D37">
        <f t="shared" si="3"/>
        <v>120.02000000000001</v>
      </c>
      <c r="E37">
        <f t="shared" si="4"/>
        <v>11.26</v>
      </c>
      <c r="F37">
        <f t="shared" si="0"/>
        <v>0</v>
      </c>
      <c r="G37">
        <f t="shared" si="5"/>
        <v>49.9</v>
      </c>
    </row>
    <row r="38" spans="1:7" x14ac:dyDescent="0.25">
      <c r="A38">
        <v>31</v>
      </c>
      <c r="B38">
        <f t="shared" si="1"/>
        <v>1.77</v>
      </c>
      <c r="C38">
        <f t="shared" si="2"/>
        <v>23.4</v>
      </c>
      <c r="D38">
        <f t="shared" si="3"/>
        <v>122.04</v>
      </c>
      <c r="E38">
        <f t="shared" si="4"/>
        <v>13.28</v>
      </c>
      <c r="F38">
        <f t="shared" si="0"/>
        <v>0</v>
      </c>
      <c r="G38">
        <f t="shared" si="5"/>
        <v>47.8</v>
      </c>
    </row>
    <row r="39" spans="1:7" x14ac:dyDescent="0.25">
      <c r="A39">
        <v>32</v>
      </c>
      <c r="B39">
        <f t="shared" si="1"/>
        <v>1.7</v>
      </c>
      <c r="C39">
        <f t="shared" si="2"/>
        <v>22.4</v>
      </c>
      <c r="D39">
        <f t="shared" si="3"/>
        <v>123.99000000000001</v>
      </c>
      <c r="E39">
        <f t="shared" si="4"/>
        <v>15.229999999999999</v>
      </c>
      <c r="F39">
        <f t="shared" si="0"/>
        <v>0</v>
      </c>
      <c r="G39">
        <f t="shared" si="5"/>
        <v>45.8</v>
      </c>
    </row>
    <row r="40" spans="1:7" x14ac:dyDescent="0.25">
      <c r="A40">
        <v>33</v>
      </c>
      <c r="B40">
        <f t="shared" si="1"/>
        <v>1.63</v>
      </c>
      <c r="C40">
        <f t="shared" si="2"/>
        <v>21.5</v>
      </c>
      <c r="D40">
        <f t="shared" si="3"/>
        <v>125.87</v>
      </c>
      <c r="E40">
        <f t="shared" si="4"/>
        <v>17.11</v>
      </c>
      <c r="F40">
        <f t="shared" si="0"/>
        <v>0</v>
      </c>
      <c r="G40">
        <f t="shared" si="5"/>
        <v>43.9</v>
      </c>
    </row>
    <row r="41" spans="1:7" x14ac:dyDescent="0.25">
      <c r="A41">
        <v>34</v>
      </c>
      <c r="B41">
        <f t="shared" si="1"/>
        <v>1.56</v>
      </c>
      <c r="C41">
        <f t="shared" si="2"/>
        <v>20.6</v>
      </c>
      <c r="D41">
        <f t="shared" si="3"/>
        <v>127.68</v>
      </c>
      <c r="E41">
        <f t="shared" si="4"/>
        <v>18.919999999999998</v>
      </c>
      <c r="F41">
        <f t="shared" si="0"/>
        <v>0</v>
      </c>
      <c r="G41">
        <f t="shared" si="5"/>
        <v>42.1</v>
      </c>
    </row>
    <row r="42" spans="1:7" x14ac:dyDescent="0.25">
      <c r="A42">
        <v>35</v>
      </c>
      <c r="B42">
        <f t="shared" si="1"/>
        <v>1.5</v>
      </c>
      <c r="C42">
        <f t="shared" si="2"/>
        <v>19.8</v>
      </c>
      <c r="D42">
        <f t="shared" si="3"/>
        <v>129.43</v>
      </c>
      <c r="E42">
        <f t="shared" si="4"/>
        <v>20.669999999999998</v>
      </c>
      <c r="F42">
        <f t="shared" si="0"/>
        <v>0</v>
      </c>
      <c r="G42">
        <f t="shared" si="5"/>
        <v>40.400000000000006</v>
      </c>
    </row>
    <row r="43" spans="1:7" x14ac:dyDescent="0.25">
      <c r="A43">
        <v>36</v>
      </c>
      <c r="B43">
        <f t="shared" si="1"/>
        <v>1.44</v>
      </c>
      <c r="C43">
        <f t="shared" si="2"/>
        <v>19</v>
      </c>
      <c r="D43">
        <f t="shared" si="3"/>
        <v>131.12</v>
      </c>
      <c r="E43">
        <f t="shared" si="4"/>
        <v>22.36</v>
      </c>
      <c r="F43">
        <f t="shared" si="0"/>
        <v>0</v>
      </c>
      <c r="G43">
        <f t="shared" si="5"/>
        <v>38.799999999999997</v>
      </c>
    </row>
    <row r="44" spans="1:7" x14ac:dyDescent="0.25">
      <c r="A44">
        <v>37</v>
      </c>
      <c r="B44">
        <f t="shared" si="1"/>
        <v>1.38</v>
      </c>
      <c r="C44">
        <f t="shared" si="2"/>
        <v>18.3</v>
      </c>
      <c r="D44">
        <f t="shared" si="3"/>
        <v>132.75</v>
      </c>
      <c r="E44">
        <f t="shared" si="4"/>
        <v>1.63</v>
      </c>
      <c r="F44">
        <f t="shared" si="0"/>
        <v>0</v>
      </c>
      <c r="G44">
        <f t="shared" si="5"/>
        <v>37.299999999999997</v>
      </c>
    </row>
    <row r="45" spans="1:7" x14ac:dyDescent="0.25">
      <c r="A45">
        <v>38</v>
      </c>
      <c r="B45">
        <f t="shared" si="1"/>
        <v>1.33</v>
      </c>
      <c r="C45">
        <f t="shared" si="2"/>
        <v>17.600000000000001</v>
      </c>
      <c r="D45">
        <f t="shared" si="3"/>
        <v>134.33000000000001</v>
      </c>
      <c r="E45">
        <f t="shared" si="4"/>
        <v>3.21</v>
      </c>
      <c r="F45">
        <f t="shared" si="0"/>
        <v>22.500000000000007</v>
      </c>
    </row>
    <row r="46" spans="1:7" x14ac:dyDescent="0.25">
      <c r="A46">
        <v>39</v>
      </c>
      <c r="B46">
        <f t="shared" si="1"/>
        <v>1.27</v>
      </c>
      <c r="C46">
        <f t="shared" si="2"/>
        <v>16.899999999999999</v>
      </c>
      <c r="D46">
        <f t="shared" si="3"/>
        <v>135.85000000000002</v>
      </c>
      <c r="E46">
        <f t="shared" si="4"/>
        <v>4.7300000000000004</v>
      </c>
      <c r="F46">
        <f t="shared" si="0"/>
        <v>21.070000000000004</v>
      </c>
    </row>
    <row r="47" spans="1:7" x14ac:dyDescent="0.25">
      <c r="A47">
        <v>40</v>
      </c>
      <c r="B47">
        <f t="shared" si="1"/>
        <v>1.22</v>
      </c>
      <c r="C47">
        <f t="shared" si="2"/>
        <v>16.3</v>
      </c>
      <c r="D47">
        <f t="shared" si="3"/>
        <v>137.32000000000002</v>
      </c>
      <c r="E47">
        <f t="shared" si="4"/>
        <v>6.2</v>
      </c>
      <c r="F47">
        <f t="shared" si="0"/>
        <v>19.700000000000003</v>
      </c>
    </row>
    <row r="48" spans="1:7" x14ac:dyDescent="0.25">
      <c r="A48">
        <v>41</v>
      </c>
      <c r="B48">
        <f t="shared" si="1"/>
        <v>1.17</v>
      </c>
      <c r="C48">
        <f t="shared" si="2"/>
        <v>15.7</v>
      </c>
      <c r="D48">
        <f t="shared" si="3"/>
        <v>138.74</v>
      </c>
      <c r="E48">
        <f t="shared" si="4"/>
        <v>7.62</v>
      </c>
      <c r="F48">
        <f t="shared" si="0"/>
        <v>18.380000000000003</v>
      </c>
    </row>
    <row r="49" spans="1:6" x14ac:dyDescent="0.25">
      <c r="A49">
        <v>42</v>
      </c>
      <c r="B49">
        <f t="shared" si="1"/>
        <v>1.1299999999999999</v>
      </c>
      <c r="C49">
        <f t="shared" si="2"/>
        <v>15.2</v>
      </c>
      <c r="D49">
        <f t="shared" si="3"/>
        <v>140.12</v>
      </c>
      <c r="E49">
        <f t="shared" si="4"/>
        <v>9</v>
      </c>
      <c r="F49">
        <f t="shared" si="0"/>
        <v>17.11</v>
      </c>
    </row>
    <row r="50" spans="1:6" x14ac:dyDescent="0.25">
      <c r="A50">
        <v>43</v>
      </c>
      <c r="B50">
        <f t="shared" si="1"/>
        <v>1.08</v>
      </c>
      <c r="C50">
        <f t="shared" si="2"/>
        <v>14.7</v>
      </c>
      <c r="D50">
        <f t="shared" si="3"/>
        <v>141.45000000000002</v>
      </c>
      <c r="E50">
        <f t="shared" si="4"/>
        <v>10.33</v>
      </c>
      <c r="F50">
        <f t="shared" si="0"/>
        <v>15.879999999999997</v>
      </c>
    </row>
    <row r="51" spans="1:6" x14ac:dyDescent="0.25">
      <c r="A51">
        <v>44</v>
      </c>
      <c r="B51">
        <f t="shared" si="1"/>
        <v>1.04</v>
      </c>
      <c r="C51">
        <f t="shared" si="2"/>
        <v>14.2</v>
      </c>
      <c r="D51">
        <f t="shared" si="3"/>
        <v>142.74</v>
      </c>
      <c r="E51">
        <f t="shared" si="4"/>
        <v>11.620000000000001</v>
      </c>
      <c r="F51">
        <f t="shared" si="0"/>
        <v>14.699999999999998</v>
      </c>
    </row>
    <row r="52" spans="1:6" x14ac:dyDescent="0.25">
      <c r="A52">
        <v>45</v>
      </c>
      <c r="B52">
        <f t="shared" si="1"/>
        <v>1</v>
      </c>
      <c r="C52">
        <f t="shared" si="2"/>
        <v>13.7</v>
      </c>
      <c r="D52">
        <f t="shared" si="3"/>
        <v>143.99</v>
      </c>
      <c r="E52">
        <f t="shared" si="4"/>
        <v>12.870000000000001</v>
      </c>
      <c r="F52">
        <f t="shared" si="0"/>
        <v>13.559999999999999</v>
      </c>
    </row>
    <row r="53" spans="1:6" x14ac:dyDescent="0.25">
      <c r="A53">
        <v>46</v>
      </c>
      <c r="B53">
        <f t="shared" si="1"/>
        <v>0.96</v>
      </c>
      <c r="C53">
        <f t="shared" si="2"/>
        <v>13.3</v>
      </c>
      <c r="D53">
        <f t="shared" si="3"/>
        <v>145.20000000000002</v>
      </c>
      <c r="E53">
        <f t="shared" si="4"/>
        <v>14.080000000000002</v>
      </c>
      <c r="F53">
        <f t="shared" si="0"/>
        <v>12.459999999999999</v>
      </c>
    </row>
    <row r="54" spans="1:6" x14ac:dyDescent="0.25">
      <c r="A54">
        <v>47</v>
      </c>
      <c r="B54">
        <f t="shared" si="1"/>
        <v>0.92</v>
      </c>
      <c r="C54">
        <f t="shared" si="2"/>
        <v>12.9</v>
      </c>
      <c r="D54">
        <f t="shared" si="3"/>
        <v>146.37</v>
      </c>
      <c r="E54">
        <f t="shared" si="4"/>
        <v>15.250000000000002</v>
      </c>
      <c r="F54">
        <f t="shared" si="0"/>
        <v>11.399999999999999</v>
      </c>
    </row>
    <row r="55" spans="1:6" x14ac:dyDescent="0.25">
      <c r="A55">
        <v>48</v>
      </c>
      <c r="B55">
        <f t="shared" si="1"/>
        <v>0.88</v>
      </c>
      <c r="C55">
        <f t="shared" si="2"/>
        <v>12.5</v>
      </c>
      <c r="D55">
        <f t="shared" si="3"/>
        <v>147.5</v>
      </c>
      <c r="E55">
        <f t="shared" si="4"/>
        <v>16.380000000000003</v>
      </c>
      <c r="F55">
        <f t="shared" si="0"/>
        <v>10.379999999999999</v>
      </c>
    </row>
    <row r="56" spans="1:6" x14ac:dyDescent="0.25">
      <c r="A56">
        <v>49</v>
      </c>
      <c r="B56">
        <f t="shared" si="1"/>
        <v>0.85</v>
      </c>
      <c r="C56">
        <f t="shared" si="2"/>
        <v>12.1</v>
      </c>
      <c r="D56">
        <f t="shared" si="3"/>
        <v>148.6</v>
      </c>
      <c r="E56">
        <f t="shared" si="4"/>
        <v>17.480000000000004</v>
      </c>
      <c r="F56">
        <f t="shared" si="0"/>
        <v>9.3999999999999986</v>
      </c>
    </row>
    <row r="57" spans="1:6" x14ac:dyDescent="0.25">
      <c r="A57">
        <v>50</v>
      </c>
      <c r="B57">
        <f t="shared" si="1"/>
        <v>0.81</v>
      </c>
      <c r="C57">
        <f t="shared" si="2"/>
        <v>11.8</v>
      </c>
      <c r="D57">
        <f t="shared" si="3"/>
        <v>149.66</v>
      </c>
      <c r="E57">
        <f t="shared" si="4"/>
        <v>18.540000000000003</v>
      </c>
      <c r="F57">
        <f t="shared" si="0"/>
        <v>8.4499999999999993</v>
      </c>
    </row>
    <row r="58" spans="1:6" x14ac:dyDescent="0.25">
      <c r="A58">
        <v>51</v>
      </c>
      <c r="B58">
        <f t="shared" si="1"/>
        <v>0.78</v>
      </c>
      <c r="C58">
        <f t="shared" si="2"/>
        <v>11.5</v>
      </c>
      <c r="D58">
        <f t="shared" si="3"/>
        <v>150.69</v>
      </c>
      <c r="E58">
        <f t="shared" si="4"/>
        <v>19.570000000000004</v>
      </c>
      <c r="F58">
        <f t="shared" si="0"/>
        <v>7.5399999999999991</v>
      </c>
    </row>
    <row r="59" spans="1:6" x14ac:dyDescent="0.25">
      <c r="A59">
        <v>52</v>
      </c>
      <c r="B59">
        <f t="shared" si="1"/>
        <v>0.75</v>
      </c>
      <c r="C59">
        <f t="shared" si="2"/>
        <v>11.2</v>
      </c>
      <c r="D59">
        <f t="shared" si="3"/>
        <v>151.69</v>
      </c>
      <c r="E59">
        <f t="shared" si="4"/>
        <v>20.570000000000004</v>
      </c>
      <c r="F59">
        <f t="shared" si="0"/>
        <v>6.6599999999999993</v>
      </c>
    </row>
    <row r="60" spans="1:6" x14ac:dyDescent="0.25">
      <c r="A60">
        <v>53</v>
      </c>
      <c r="B60">
        <f t="shared" si="1"/>
        <v>0.72</v>
      </c>
      <c r="C60">
        <f t="shared" si="2"/>
        <v>10.9</v>
      </c>
      <c r="D60">
        <f t="shared" si="3"/>
        <v>152.66</v>
      </c>
      <c r="E60">
        <f t="shared" si="4"/>
        <v>21.540000000000003</v>
      </c>
      <c r="F60">
        <f t="shared" si="0"/>
        <v>5.81</v>
      </c>
    </row>
    <row r="61" spans="1:6" x14ac:dyDescent="0.25">
      <c r="A61">
        <v>54</v>
      </c>
      <c r="B61">
        <f t="shared" si="1"/>
        <v>0.69</v>
      </c>
      <c r="C61">
        <f t="shared" si="2"/>
        <v>10.6</v>
      </c>
      <c r="D61">
        <f t="shared" si="3"/>
        <v>153.6</v>
      </c>
      <c r="E61">
        <f t="shared" si="4"/>
        <v>22.480000000000004</v>
      </c>
      <c r="F61">
        <f t="shared" si="0"/>
        <v>4.99</v>
      </c>
    </row>
    <row r="62" spans="1:6" x14ac:dyDescent="0.25">
      <c r="A62">
        <v>55</v>
      </c>
      <c r="B62">
        <f t="shared" si="1"/>
        <v>0.66</v>
      </c>
      <c r="C62">
        <f t="shared" si="2"/>
        <v>10.3</v>
      </c>
      <c r="D62">
        <f t="shared" si="3"/>
        <v>154.51</v>
      </c>
      <c r="E62">
        <f t="shared" si="4"/>
        <v>0.91</v>
      </c>
      <c r="F62">
        <f t="shared" si="0"/>
        <v>4.2</v>
      </c>
    </row>
    <row r="63" spans="1:6" x14ac:dyDescent="0.25">
      <c r="A63">
        <v>56</v>
      </c>
      <c r="B63">
        <f t="shared" si="1"/>
        <v>0.64</v>
      </c>
      <c r="C63">
        <f t="shared" si="2"/>
        <v>10.1</v>
      </c>
      <c r="D63">
        <f t="shared" si="3"/>
        <v>155.39999999999998</v>
      </c>
      <c r="E63">
        <f t="shared" si="4"/>
        <v>1.8</v>
      </c>
      <c r="F63">
        <f t="shared" si="0"/>
        <v>3.4400000000000004</v>
      </c>
    </row>
    <row r="64" spans="1:6" x14ac:dyDescent="0.25">
      <c r="A64">
        <v>57</v>
      </c>
      <c r="B64">
        <f t="shared" si="1"/>
        <v>0.61</v>
      </c>
      <c r="C64">
        <f t="shared" si="2"/>
        <v>9.9</v>
      </c>
      <c r="D64">
        <f t="shared" si="3"/>
        <v>156.26</v>
      </c>
      <c r="E64">
        <f t="shared" si="4"/>
        <v>2.66</v>
      </c>
      <c r="F64">
        <f t="shared" si="0"/>
        <v>2.7</v>
      </c>
    </row>
    <row r="65" spans="1:6" x14ac:dyDescent="0.25">
      <c r="A65">
        <v>58</v>
      </c>
      <c r="B65">
        <f t="shared" si="1"/>
        <v>0.59</v>
      </c>
      <c r="C65">
        <f t="shared" si="2"/>
        <v>9.6</v>
      </c>
      <c r="D65">
        <f t="shared" si="3"/>
        <v>157.1</v>
      </c>
      <c r="E65">
        <f t="shared" si="4"/>
        <v>3.5</v>
      </c>
      <c r="F65">
        <f t="shared" si="0"/>
        <v>1.9900000000000002</v>
      </c>
    </row>
    <row r="66" spans="1:6" x14ac:dyDescent="0.25">
      <c r="A66">
        <v>59</v>
      </c>
      <c r="B66">
        <f t="shared" si="1"/>
        <v>0.56000000000000005</v>
      </c>
      <c r="C66">
        <f t="shared" si="2"/>
        <v>9.4</v>
      </c>
      <c r="D66">
        <f t="shared" si="3"/>
        <v>157.91</v>
      </c>
      <c r="E66">
        <f t="shared" si="4"/>
        <v>4.3100000000000005</v>
      </c>
      <c r="F66">
        <f t="shared" si="0"/>
        <v>1.3000000000000003</v>
      </c>
    </row>
    <row r="67" spans="1:6" x14ac:dyDescent="0.25">
      <c r="A67">
        <v>60</v>
      </c>
      <c r="B67">
        <f t="shared" si="1"/>
        <v>0.54</v>
      </c>
      <c r="C67">
        <f t="shared" si="2"/>
        <v>9.3000000000000007</v>
      </c>
      <c r="D67">
        <f t="shared" si="3"/>
        <v>158.69999999999999</v>
      </c>
      <c r="E67">
        <f t="shared" si="4"/>
        <v>5.1000000000000005</v>
      </c>
      <c r="F67">
        <f t="shared" si="0"/>
        <v>0.64</v>
      </c>
    </row>
  </sheetData>
  <conditionalFormatting sqref="E7:E68">
    <cfRule type="cellIs" dxfId="2" priority="1" operator="lessThan">
      <formula>6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A954C-49DB-4975-9149-1A61A37FB29A}">
  <dimension ref="A2:Q67"/>
  <sheetViews>
    <sheetView topLeftCell="A4" workbookViewId="0">
      <selection activeCell="K13" sqref="K13"/>
    </sheetView>
  </sheetViews>
  <sheetFormatPr defaultRowHeight="15" x14ac:dyDescent="0.25"/>
  <cols>
    <col min="1" max="1" width="15.28515625" customWidth="1"/>
  </cols>
  <sheetData>
    <row r="2" spans="1:17" x14ac:dyDescent="0.25">
      <c r="A2" t="s">
        <v>3</v>
      </c>
      <c r="B2">
        <v>3.3</v>
      </c>
      <c r="C2" t="s">
        <v>7</v>
      </c>
      <c r="D2">
        <v>0.25</v>
      </c>
      <c r="G2">
        <v>0.1</v>
      </c>
    </row>
    <row r="3" spans="1:17" x14ac:dyDescent="0.25">
      <c r="A3" t="s">
        <v>0</v>
      </c>
      <c r="B3">
        <v>6</v>
      </c>
      <c r="C3" t="s">
        <v>9</v>
      </c>
      <c r="D3">
        <v>119</v>
      </c>
    </row>
    <row r="4" spans="1:17" x14ac:dyDescent="0.25">
      <c r="A4" t="s">
        <v>1</v>
      </c>
      <c r="B4">
        <v>110</v>
      </c>
      <c r="C4" t="s">
        <v>11</v>
      </c>
      <c r="D4">
        <v>25</v>
      </c>
    </row>
    <row r="5" spans="1:17" x14ac:dyDescent="0.25">
      <c r="A5" t="s">
        <v>5</v>
      </c>
      <c r="B5">
        <f>B4-B3</f>
        <v>104</v>
      </c>
      <c r="C5" t="s">
        <v>12</v>
      </c>
      <c r="D5">
        <v>23</v>
      </c>
    </row>
    <row r="6" spans="1:17" x14ac:dyDescent="0.25">
      <c r="A6" t="s">
        <v>2</v>
      </c>
      <c r="B6" t="s">
        <v>4</v>
      </c>
      <c r="C6" t="s">
        <v>6</v>
      </c>
      <c r="D6" t="s">
        <v>8</v>
      </c>
      <c r="F6" t="s">
        <v>10</v>
      </c>
      <c r="G6" t="s">
        <v>13</v>
      </c>
    </row>
    <row r="7" spans="1:17" x14ac:dyDescent="0.25">
      <c r="A7">
        <v>0</v>
      </c>
      <c r="B7">
        <f>ROUND($B$2*POWER(2,-A7/17),2)</f>
        <v>3.3</v>
      </c>
      <c r="C7">
        <f>ROUND($B$3+$B$5*POWER(2,-A7/12),1)</f>
        <v>110</v>
      </c>
      <c r="D7">
        <f>B7+$D$2</f>
        <v>3.55</v>
      </c>
      <c r="E7">
        <f>IF(C7 &gt; $D$3, 0, B7+$D$2)</f>
        <v>3.55</v>
      </c>
      <c r="F7">
        <f t="shared" ref="F7:F67" si="0">IF(C7 &gt; $D$4, 0, F8+B7+$G$2)</f>
        <v>0</v>
      </c>
    </row>
    <row r="8" spans="1:17" x14ac:dyDescent="0.25">
      <c r="A8">
        <v>1</v>
      </c>
      <c r="B8">
        <f t="shared" ref="B8:B68" si="1">ROUND($B$2*POWER(2,-A8/17),2)</f>
        <v>3.17</v>
      </c>
      <c r="C8">
        <f t="shared" ref="C8:C68" si="2">ROUND($B$3+$B$5*POWER(2,-A8/12),1)</f>
        <v>104.2</v>
      </c>
      <c r="D8">
        <f>D7+B8+$D$2</f>
        <v>6.97</v>
      </c>
      <c r="E8">
        <f>IF(C8 &gt; $D$3, 0, IF(E7+B8+$D$2 &gt; $D$5, B8+$D$2, E7+B8+$D$2))</f>
        <v>6.97</v>
      </c>
      <c r="F8">
        <f t="shared" si="0"/>
        <v>0</v>
      </c>
      <c r="G8">
        <f>C8+C7</f>
        <v>214.2</v>
      </c>
      <c r="K8" t="s">
        <v>14</v>
      </c>
      <c r="L8" t="s">
        <v>20</v>
      </c>
      <c r="M8" t="s">
        <v>16</v>
      </c>
      <c r="N8" t="s">
        <v>17</v>
      </c>
      <c r="O8" t="s">
        <v>18</v>
      </c>
      <c r="P8" t="s">
        <v>19</v>
      </c>
      <c r="Q8" t="s">
        <v>21</v>
      </c>
    </row>
    <row r="9" spans="1:17" x14ac:dyDescent="0.25">
      <c r="A9">
        <v>2</v>
      </c>
      <c r="B9">
        <f t="shared" si="1"/>
        <v>3.04</v>
      </c>
      <c r="C9">
        <f t="shared" si="2"/>
        <v>98.7</v>
      </c>
      <c r="D9">
        <f t="shared" ref="D9:D68" si="3">D8+B9+$D$2</f>
        <v>10.26</v>
      </c>
      <c r="E9">
        <f t="shared" ref="E9:E68" si="4">IF(C9 &gt; $D$3, 0, IF(E8+B9+$D$2 &gt; $D$5, B9+$D$2, E8+B9+$D$2))</f>
        <v>10.26</v>
      </c>
      <c r="F9">
        <f t="shared" si="0"/>
        <v>0</v>
      </c>
      <c r="G9">
        <f t="shared" ref="G9:G44" si="5">C9+C8</f>
        <v>202.9</v>
      </c>
      <c r="K9" t="s">
        <v>25</v>
      </c>
      <c r="L9">
        <v>22.25</v>
      </c>
      <c r="M9">
        <v>110</v>
      </c>
      <c r="N9">
        <v>79.5</v>
      </c>
      <c r="O9">
        <v>3.3</v>
      </c>
      <c r="P9">
        <v>2.58</v>
      </c>
      <c r="Q9">
        <v>7</v>
      </c>
    </row>
    <row r="10" spans="1:17" x14ac:dyDescent="0.25">
      <c r="A10">
        <v>3</v>
      </c>
      <c r="B10">
        <f t="shared" si="1"/>
        <v>2.92</v>
      </c>
      <c r="C10">
        <f t="shared" si="2"/>
        <v>93.5</v>
      </c>
      <c r="D10">
        <f t="shared" si="3"/>
        <v>13.43</v>
      </c>
      <c r="E10">
        <f t="shared" si="4"/>
        <v>13.43</v>
      </c>
      <c r="F10">
        <f t="shared" si="0"/>
        <v>0</v>
      </c>
      <c r="G10">
        <f t="shared" si="5"/>
        <v>192.2</v>
      </c>
      <c r="K10" t="s">
        <v>26</v>
      </c>
      <c r="L10">
        <v>21.32</v>
      </c>
      <c r="M10">
        <v>75.400000000000006</v>
      </c>
      <c r="N10">
        <v>49.7</v>
      </c>
      <c r="O10">
        <v>2.48</v>
      </c>
      <c r="P10">
        <v>1.79</v>
      </c>
      <c r="Q10">
        <v>9</v>
      </c>
    </row>
    <row r="11" spans="1:17" x14ac:dyDescent="0.25">
      <c r="A11">
        <v>4</v>
      </c>
      <c r="B11">
        <f t="shared" si="1"/>
        <v>2.8</v>
      </c>
      <c r="C11">
        <f t="shared" si="2"/>
        <v>88.5</v>
      </c>
      <c r="D11">
        <f t="shared" si="3"/>
        <v>16.48</v>
      </c>
      <c r="E11">
        <f t="shared" si="4"/>
        <v>16.48</v>
      </c>
      <c r="F11">
        <f t="shared" si="0"/>
        <v>0</v>
      </c>
      <c r="G11">
        <f t="shared" si="5"/>
        <v>182</v>
      </c>
      <c r="K11" t="s">
        <v>27</v>
      </c>
      <c r="L11">
        <v>22.2</v>
      </c>
      <c r="M11">
        <v>47.3</v>
      </c>
      <c r="N11">
        <v>25.5</v>
      </c>
      <c r="O11">
        <v>1.72</v>
      </c>
      <c r="P11">
        <v>1.01</v>
      </c>
      <c r="Q11">
        <v>14</v>
      </c>
    </row>
    <row r="12" spans="1:17" x14ac:dyDescent="0.25">
      <c r="A12">
        <v>5</v>
      </c>
      <c r="B12">
        <f t="shared" si="1"/>
        <v>2.69</v>
      </c>
      <c r="C12">
        <f t="shared" si="2"/>
        <v>83.9</v>
      </c>
      <c r="D12">
        <f t="shared" si="3"/>
        <v>19.420000000000002</v>
      </c>
      <c r="E12">
        <f t="shared" si="4"/>
        <v>19.420000000000002</v>
      </c>
      <c r="F12">
        <f t="shared" si="0"/>
        <v>0</v>
      </c>
      <c r="G12">
        <f t="shared" si="5"/>
        <v>172.4</v>
      </c>
      <c r="K12" t="s">
        <v>28</v>
      </c>
      <c r="L12">
        <v>20.6</v>
      </c>
      <c r="M12">
        <v>24.4</v>
      </c>
      <c r="N12">
        <v>9.3000000000000007</v>
      </c>
      <c r="O12">
        <v>0.97</v>
      </c>
      <c r="P12">
        <v>0.3</v>
      </c>
      <c r="Q12">
        <v>31</v>
      </c>
    </row>
    <row r="13" spans="1:17" x14ac:dyDescent="0.25">
      <c r="A13">
        <v>6</v>
      </c>
      <c r="B13">
        <f t="shared" si="1"/>
        <v>2.58</v>
      </c>
      <c r="C13">
        <f t="shared" si="2"/>
        <v>79.5</v>
      </c>
      <c r="D13">
        <f t="shared" si="3"/>
        <v>22.25</v>
      </c>
      <c r="E13">
        <f t="shared" si="4"/>
        <v>22.25</v>
      </c>
      <c r="F13">
        <f t="shared" si="0"/>
        <v>0</v>
      </c>
      <c r="G13">
        <f t="shared" si="5"/>
        <v>163.4</v>
      </c>
      <c r="K13" t="s">
        <v>24</v>
      </c>
      <c r="L13">
        <f>SUM(L9:L12)</f>
        <v>86.37</v>
      </c>
      <c r="Q13">
        <f>SUM(Q9:Q12)</f>
        <v>61</v>
      </c>
    </row>
    <row r="14" spans="1:17" x14ac:dyDescent="0.25">
      <c r="A14">
        <v>7</v>
      </c>
      <c r="B14">
        <f t="shared" si="1"/>
        <v>2.48</v>
      </c>
      <c r="C14">
        <f t="shared" si="2"/>
        <v>75.400000000000006</v>
      </c>
      <c r="D14">
        <f t="shared" si="3"/>
        <v>24.98</v>
      </c>
      <c r="E14">
        <f t="shared" si="4"/>
        <v>2.73</v>
      </c>
      <c r="F14">
        <f t="shared" si="0"/>
        <v>0</v>
      </c>
      <c r="G14">
        <f t="shared" si="5"/>
        <v>154.9</v>
      </c>
    </row>
    <row r="15" spans="1:17" x14ac:dyDescent="0.25">
      <c r="A15">
        <v>8</v>
      </c>
      <c r="B15">
        <f t="shared" si="1"/>
        <v>2.38</v>
      </c>
      <c r="C15">
        <f t="shared" si="2"/>
        <v>71.5</v>
      </c>
      <c r="D15">
        <f t="shared" si="3"/>
        <v>27.61</v>
      </c>
      <c r="E15">
        <f t="shared" si="4"/>
        <v>5.3599999999999994</v>
      </c>
      <c r="F15">
        <f t="shared" si="0"/>
        <v>0</v>
      </c>
      <c r="G15">
        <f t="shared" si="5"/>
        <v>146.9</v>
      </c>
    </row>
    <row r="16" spans="1:17" x14ac:dyDescent="0.25">
      <c r="A16">
        <v>9</v>
      </c>
      <c r="B16">
        <f t="shared" si="1"/>
        <v>2.29</v>
      </c>
      <c r="C16">
        <f t="shared" si="2"/>
        <v>67.8</v>
      </c>
      <c r="D16">
        <f t="shared" si="3"/>
        <v>30.15</v>
      </c>
      <c r="E16">
        <f t="shared" si="4"/>
        <v>7.8999999999999995</v>
      </c>
      <c r="F16">
        <f t="shared" si="0"/>
        <v>0</v>
      </c>
      <c r="G16">
        <f t="shared" si="5"/>
        <v>139.30000000000001</v>
      </c>
    </row>
    <row r="17" spans="1:7" x14ac:dyDescent="0.25">
      <c r="A17">
        <v>10</v>
      </c>
      <c r="B17">
        <f t="shared" si="1"/>
        <v>2.2000000000000002</v>
      </c>
      <c r="C17">
        <f t="shared" si="2"/>
        <v>64.400000000000006</v>
      </c>
      <c r="D17">
        <f t="shared" si="3"/>
        <v>32.6</v>
      </c>
      <c r="E17">
        <f t="shared" si="4"/>
        <v>10.35</v>
      </c>
      <c r="F17">
        <f t="shared" si="0"/>
        <v>0</v>
      </c>
      <c r="G17">
        <f t="shared" si="5"/>
        <v>132.19999999999999</v>
      </c>
    </row>
    <row r="18" spans="1:7" x14ac:dyDescent="0.25">
      <c r="A18">
        <v>11</v>
      </c>
      <c r="B18">
        <f t="shared" si="1"/>
        <v>2.11</v>
      </c>
      <c r="C18">
        <f t="shared" si="2"/>
        <v>61.1</v>
      </c>
      <c r="D18">
        <f t="shared" si="3"/>
        <v>34.96</v>
      </c>
      <c r="E18">
        <f t="shared" si="4"/>
        <v>12.709999999999999</v>
      </c>
      <c r="F18">
        <f t="shared" si="0"/>
        <v>0</v>
      </c>
      <c r="G18">
        <f t="shared" si="5"/>
        <v>125.5</v>
      </c>
    </row>
    <row r="19" spans="1:7" x14ac:dyDescent="0.25">
      <c r="A19">
        <v>12</v>
      </c>
      <c r="B19">
        <f t="shared" si="1"/>
        <v>2.02</v>
      </c>
      <c r="C19">
        <f t="shared" si="2"/>
        <v>58</v>
      </c>
      <c r="D19">
        <f t="shared" si="3"/>
        <v>37.230000000000004</v>
      </c>
      <c r="E19">
        <f t="shared" si="4"/>
        <v>14.979999999999999</v>
      </c>
      <c r="F19">
        <f t="shared" si="0"/>
        <v>0</v>
      </c>
      <c r="G19">
        <f t="shared" si="5"/>
        <v>119.1</v>
      </c>
    </row>
    <row r="20" spans="1:7" x14ac:dyDescent="0.25">
      <c r="A20">
        <v>13</v>
      </c>
      <c r="B20">
        <f t="shared" si="1"/>
        <v>1.94</v>
      </c>
      <c r="C20">
        <f t="shared" si="2"/>
        <v>55.1</v>
      </c>
      <c r="D20">
        <f t="shared" si="3"/>
        <v>39.42</v>
      </c>
      <c r="E20">
        <f t="shared" si="4"/>
        <v>17.169999999999998</v>
      </c>
      <c r="F20">
        <f t="shared" si="0"/>
        <v>0</v>
      </c>
      <c r="G20">
        <f t="shared" si="5"/>
        <v>113.1</v>
      </c>
    </row>
    <row r="21" spans="1:7" x14ac:dyDescent="0.25">
      <c r="A21">
        <v>14</v>
      </c>
      <c r="B21">
        <f t="shared" si="1"/>
        <v>1.86</v>
      </c>
      <c r="C21">
        <f t="shared" si="2"/>
        <v>52.3</v>
      </c>
      <c r="D21">
        <f t="shared" si="3"/>
        <v>41.53</v>
      </c>
      <c r="E21">
        <f t="shared" si="4"/>
        <v>19.279999999999998</v>
      </c>
      <c r="F21">
        <f t="shared" si="0"/>
        <v>0</v>
      </c>
      <c r="G21">
        <f t="shared" si="5"/>
        <v>107.4</v>
      </c>
    </row>
    <row r="22" spans="1:7" x14ac:dyDescent="0.25">
      <c r="A22">
        <v>15</v>
      </c>
      <c r="B22">
        <f t="shared" si="1"/>
        <v>1.79</v>
      </c>
      <c r="C22">
        <f t="shared" si="2"/>
        <v>49.7</v>
      </c>
      <c r="D22">
        <f t="shared" si="3"/>
        <v>43.57</v>
      </c>
      <c r="E22">
        <f t="shared" si="4"/>
        <v>21.319999999999997</v>
      </c>
      <c r="F22">
        <f t="shared" si="0"/>
        <v>0</v>
      </c>
      <c r="G22">
        <f t="shared" si="5"/>
        <v>102</v>
      </c>
    </row>
    <row r="23" spans="1:7" x14ac:dyDescent="0.25">
      <c r="A23">
        <v>16</v>
      </c>
      <c r="B23">
        <f t="shared" si="1"/>
        <v>1.72</v>
      </c>
      <c r="C23">
        <f t="shared" si="2"/>
        <v>47.3</v>
      </c>
      <c r="D23">
        <f t="shared" si="3"/>
        <v>45.54</v>
      </c>
      <c r="E23">
        <f t="shared" si="4"/>
        <v>1.97</v>
      </c>
      <c r="F23">
        <f t="shared" si="0"/>
        <v>0</v>
      </c>
      <c r="G23">
        <f t="shared" si="5"/>
        <v>97</v>
      </c>
    </row>
    <row r="24" spans="1:7" x14ac:dyDescent="0.25">
      <c r="A24">
        <v>17</v>
      </c>
      <c r="B24">
        <f t="shared" si="1"/>
        <v>1.65</v>
      </c>
      <c r="C24">
        <f t="shared" si="2"/>
        <v>45</v>
      </c>
      <c r="D24">
        <f t="shared" si="3"/>
        <v>47.44</v>
      </c>
      <c r="E24">
        <f t="shared" si="4"/>
        <v>3.87</v>
      </c>
      <c r="F24">
        <f t="shared" si="0"/>
        <v>0</v>
      </c>
      <c r="G24">
        <f t="shared" si="5"/>
        <v>92.3</v>
      </c>
    </row>
    <row r="25" spans="1:7" x14ac:dyDescent="0.25">
      <c r="A25">
        <v>18</v>
      </c>
      <c r="B25">
        <f t="shared" si="1"/>
        <v>1.58</v>
      </c>
      <c r="C25">
        <f t="shared" si="2"/>
        <v>42.8</v>
      </c>
      <c r="D25">
        <f t="shared" si="3"/>
        <v>49.269999999999996</v>
      </c>
      <c r="E25">
        <f t="shared" si="4"/>
        <v>5.7</v>
      </c>
      <c r="F25">
        <f t="shared" si="0"/>
        <v>0</v>
      </c>
      <c r="G25">
        <f t="shared" si="5"/>
        <v>87.8</v>
      </c>
    </row>
    <row r="26" spans="1:7" x14ac:dyDescent="0.25">
      <c r="A26">
        <v>19</v>
      </c>
      <c r="B26">
        <f t="shared" si="1"/>
        <v>1.52</v>
      </c>
      <c r="C26">
        <f t="shared" si="2"/>
        <v>40.700000000000003</v>
      </c>
      <c r="D26">
        <f t="shared" si="3"/>
        <v>51.04</v>
      </c>
      <c r="E26">
        <f t="shared" si="4"/>
        <v>7.4700000000000006</v>
      </c>
      <c r="F26">
        <f t="shared" si="0"/>
        <v>0</v>
      </c>
      <c r="G26">
        <f t="shared" si="5"/>
        <v>83.5</v>
      </c>
    </row>
    <row r="27" spans="1:7" x14ac:dyDescent="0.25">
      <c r="A27">
        <v>20</v>
      </c>
      <c r="B27">
        <f t="shared" si="1"/>
        <v>1.46</v>
      </c>
      <c r="C27">
        <f t="shared" si="2"/>
        <v>38.799999999999997</v>
      </c>
      <c r="D27">
        <f t="shared" si="3"/>
        <v>52.75</v>
      </c>
      <c r="E27">
        <f t="shared" si="4"/>
        <v>9.18</v>
      </c>
      <c r="F27">
        <f t="shared" si="0"/>
        <v>0</v>
      </c>
      <c r="G27">
        <f t="shared" si="5"/>
        <v>79.5</v>
      </c>
    </row>
    <row r="28" spans="1:7" x14ac:dyDescent="0.25">
      <c r="A28">
        <v>21</v>
      </c>
      <c r="B28">
        <f t="shared" si="1"/>
        <v>1.4</v>
      </c>
      <c r="C28">
        <f t="shared" si="2"/>
        <v>36.9</v>
      </c>
      <c r="D28">
        <f t="shared" si="3"/>
        <v>54.4</v>
      </c>
      <c r="E28">
        <f t="shared" si="4"/>
        <v>10.83</v>
      </c>
      <c r="F28">
        <f t="shared" si="0"/>
        <v>0</v>
      </c>
      <c r="G28">
        <f t="shared" si="5"/>
        <v>75.699999999999989</v>
      </c>
    </row>
    <row r="29" spans="1:7" x14ac:dyDescent="0.25">
      <c r="A29">
        <v>22</v>
      </c>
      <c r="B29">
        <f t="shared" si="1"/>
        <v>1.35</v>
      </c>
      <c r="C29">
        <f t="shared" si="2"/>
        <v>35.200000000000003</v>
      </c>
      <c r="D29">
        <f t="shared" si="3"/>
        <v>56</v>
      </c>
      <c r="E29">
        <f t="shared" si="4"/>
        <v>12.43</v>
      </c>
      <c r="F29">
        <f t="shared" si="0"/>
        <v>0</v>
      </c>
      <c r="G29">
        <f t="shared" si="5"/>
        <v>72.099999999999994</v>
      </c>
    </row>
    <row r="30" spans="1:7" x14ac:dyDescent="0.25">
      <c r="A30">
        <v>23</v>
      </c>
      <c r="B30">
        <f t="shared" si="1"/>
        <v>1.29</v>
      </c>
      <c r="C30">
        <f t="shared" si="2"/>
        <v>33.5</v>
      </c>
      <c r="D30">
        <f t="shared" si="3"/>
        <v>57.54</v>
      </c>
      <c r="E30">
        <f t="shared" si="4"/>
        <v>13.969999999999999</v>
      </c>
      <c r="F30">
        <f t="shared" si="0"/>
        <v>0</v>
      </c>
      <c r="G30">
        <f t="shared" si="5"/>
        <v>68.7</v>
      </c>
    </row>
    <row r="31" spans="1:7" x14ac:dyDescent="0.25">
      <c r="A31">
        <v>24</v>
      </c>
      <c r="B31">
        <f t="shared" si="1"/>
        <v>1.24</v>
      </c>
      <c r="C31">
        <f t="shared" si="2"/>
        <v>32</v>
      </c>
      <c r="D31">
        <f t="shared" si="3"/>
        <v>59.03</v>
      </c>
      <c r="E31">
        <f t="shared" si="4"/>
        <v>15.459999999999999</v>
      </c>
      <c r="F31">
        <f t="shared" si="0"/>
        <v>0</v>
      </c>
      <c r="G31">
        <f t="shared" si="5"/>
        <v>65.5</v>
      </c>
    </row>
    <row r="32" spans="1:7" x14ac:dyDescent="0.25">
      <c r="A32">
        <v>25</v>
      </c>
      <c r="B32">
        <f t="shared" si="1"/>
        <v>1.19</v>
      </c>
      <c r="C32">
        <f t="shared" si="2"/>
        <v>30.5</v>
      </c>
      <c r="D32">
        <f t="shared" si="3"/>
        <v>60.47</v>
      </c>
      <c r="E32">
        <f t="shared" si="4"/>
        <v>16.899999999999999</v>
      </c>
      <c r="F32">
        <f t="shared" si="0"/>
        <v>0</v>
      </c>
      <c r="G32">
        <f t="shared" si="5"/>
        <v>62.5</v>
      </c>
    </row>
    <row r="33" spans="1:7" x14ac:dyDescent="0.25">
      <c r="A33">
        <v>26</v>
      </c>
      <c r="B33">
        <f t="shared" si="1"/>
        <v>1.1399999999999999</v>
      </c>
      <c r="C33">
        <f t="shared" si="2"/>
        <v>29.2</v>
      </c>
      <c r="D33">
        <f t="shared" si="3"/>
        <v>61.86</v>
      </c>
      <c r="E33">
        <f t="shared" si="4"/>
        <v>18.29</v>
      </c>
      <c r="F33">
        <f t="shared" si="0"/>
        <v>0</v>
      </c>
      <c r="G33">
        <f t="shared" si="5"/>
        <v>59.7</v>
      </c>
    </row>
    <row r="34" spans="1:7" x14ac:dyDescent="0.25">
      <c r="A34">
        <v>27</v>
      </c>
      <c r="B34">
        <f t="shared" si="1"/>
        <v>1.1000000000000001</v>
      </c>
      <c r="C34">
        <f t="shared" si="2"/>
        <v>27.9</v>
      </c>
      <c r="D34">
        <f t="shared" si="3"/>
        <v>63.21</v>
      </c>
      <c r="E34">
        <f t="shared" si="4"/>
        <v>19.64</v>
      </c>
      <c r="F34">
        <f t="shared" si="0"/>
        <v>0</v>
      </c>
      <c r="G34">
        <f t="shared" si="5"/>
        <v>57.099999999999994</v>
      </c>
    </row>
    <row r="35" spans="1:7" x14ac:dyDescent="0.25">
      <c r="A35">
        <v>28</v>
      </c>
      <c r="B35">
        <f t="shared" si="1"/>
        <v>1.05</v>
      </c>
      <c r="C35">
        <f t="shared" si="2"/>
        <v>26.6</v>
      </c>
      <c r="D35">
        <f t="shared" si="3"/>
        <v>64.510000000000005</v>
      </c>
      <c r="E35">
        <f t="shared" si="4"/>
        <v>20.94</v>
      </c>
      <c r="F35">
        <f t="shared" si="0"/>
        <v>0</v>
      </c>
      <c r="G35">
        <f t="shared" si="5"/>
        <v>54.5</v>
      </c>
    </row>
    <row r="36" spans="1:7" x14ac:dyDescent="0.25">
      <c r="A36">
        <v>29</v>
      </c>
      <c r="B36">
        <f t="shared" si="1"/>
        <v>1.01</v>
      </c>
      <c r="C36">
        <f t="shared" si="2"/>
        <v>25.5</v>
      </c>
      <c r="D36">
        <f t="shared" si="3"/>
        <v>65.77000000000001</v>
      </c>
      <c r="E36">
        <f t="shared" si="4"/>
        <v>22.200000000000003</v>
      </c>
      <c r="F36">
        <f t="shared" si="0"/>
        <v>0</v>
      </c>
      <c r="G36">
        <f t="shared" si="5"/>
        <v>52.1</v>
      </c>
    </row>
    <row r="37" spans="1:7" x14ac:dyDescent="0.25">
      <c r="A37">
        <v>30</v>
      </c>
      <c r="B37">
        <f t="shared" si="1"/>
        <v>0.97</v>
      </c>
      <c r="C37">
        <f t="shared" si="2"/>
        <v>24.4</v>
      </c>
      <c r="D37">
        <f t="shared" si="3"/>
        <v>66.990000000000009</v>
      </c>
      <c r="E37">
        <f t="shared" si="4"/>
        <v>1.22</v>
      </c>
      <c r="F37">
        <f t="shared" si="0"/>
        <v>20.58</v>
      </c>
      <c r="G37">
        <f t="shared" si="5"/>
        <v>49.9</v>
      </c>
    </row>
    <row r="38" spans="1:7" x14ac:dyDescent="0.25">
      <c r="A38">
        <v>31</v>
      </c>
      <c r="B38">
        <f t="shared" si="1"/>
        <v>0.93</v>
      </c>
      <c r="C38">
        <f t="shared" si="2"/>
        <v>23.4</v>
      </c>
      <c r="D38">
        <f t="shared" si="3"/>
        <v>68.170000000000016</v>
      </c>
      <c r="E38">
        <f t="shared" si="4"/>
        <v>2.4</v>
      </c>
      <c r="F38">
        <f t="shared" si="0"/>
        <v>19.509999999999998</v>
      </c>
      <c r="G38">
        <f t="shared" si="5"/>
        <v>47.8</v>
      </c>
    </row>
    <row r="39" spans="1:7" x14ac:dyDescent="0.25">
      <c r="A39">
        <v>32</v>
      </c>
      <c r="B39">
        <f t="shared" si="1"/>
        <v>0.9</v>
      </c>
      <c r="C39">
        <f t="shared" si="2"/>
        <v>22.4</v>
      </c>
      <c r="D39">
        <f t="shared" si="3"/>
        <v>69.320000000000022</v>
      </c>
      <c r="E39">
        <f t="shared" si="4"/>
        <v>3.55</v>
      </c>
      <c r="F39">
        <f t="shared" si="0"/>
        <v>18.479999999999997</v>
      </c>
      <c r="G39">
        <f t="shared" si="5"/>
        <v>45.8</v>
      </c>
    </row>
    <row r="40" spans="1:7" x14ac:dyDescent="0.25">
      <c r="A40">
        <v>33</v>
      </c>
      <c r="B40">
        <f t="shared" si="1"/>
        <v>0.86</v>
      </c>
      <c r="C40">
        <f t="shared" si="2"/>
        <v>21.5</v>
      </c>
      <c r="D40">
        <f t="shared" si="3"/>
        <v>70.430000000000021</v>
      </c>
      <c r="E40">
        <f t="shared" si="4"/>
        <v>4.66</v>
      </c>
      <c r="F40">
        <f t="shared" si="0"/>
        <v>17.479999999999997</v>
      </c>
      <c r="G40">
        <f t="shared" si="5"/>
        <v>43.9</v>
      </c>
    </row>
    <row r="41" spans="1:7" x14ac:dyDescent="0.25">
      <c r="A41">
        <v>34</v>
      </c>
      <c r="B41">
        <f t="shared" si="1"/>
        <v>0.83</v>
      </c>
      <c r="C41">
        <f t="shared" si="2"/>
        <v>20.6</v>
      </c>
      <c r="D41">
        <f t="shared" si="3"/>
        <v>71.510000000000019</v>
      </c>
      <c r="E41">
        <f t="shared" si="4"/>
        <v>5.74</v>
      </c>
      <c r="F41">
        <f t="shared" si="0"/>
        <v>16.519999999999996</v>
      </c>
      <c r="G41">
        <f t="shared" si="5"/>
        <v>42.1</v>
      </c>
    </row>
    <row r="42" spans="1:7" x14ac:dyDescent="0.25">
      <c r="A42">
        <v>35</v>
      </c>
      <c r="B42">
        <f t="shared" si="1"/>
        <v>0.79</v>
      </c>
      <c r="C42">
        <f t="shared" si="2"/>
        <v>19.8</v>
      </c>
      <c r="D42">
        <f t="shared" si="3"/>
        <v>72.550000000000026</v>
      </c>
      <c r="E42">
        <f t="shared" si="4"/>
        <v>6.78</v>
      </c>
      <c r="F42">
        <f t="shared" si="0"/>
        <v>15.589999999999995</v>
      </c>
      <c r="G42">
        <f t="shared" si="5"/>
        <v>40.400000000000006</v>
      </c>
    </row>
    <row r="43" spans="1:7" x14ac:dyDescent="0.25">
      <c r="A43">
        <v>36</v>
      </c>
      <c r="B43">
        <f t="shared" si="1"/>
        <v>0.76</v>
      </c>
      <c r="C43">
        <f t="shared" si="2"/>
        <v>19</v>
      </c>
      <c r="D43">
        <f t="shared" si="3"/>
        <v>73.560000000000031</v>
      </c>
      <c r="E43">
        <f t="shared" si="4"/>
        <v>7.79</v>
      </c>
      <c r="F43">
        <f t="shared" si="0"/>
        <v>14.699999999999994</v>
      </c>
      <c r="G43">
        <f t="shared" si="5"/>
        <v>38.799999999999997</v>
      </c>
    </row>
    <row r="44" spans="1:7" x14ac:dyDescent="0.25">
      <c r="A44">
        <v>37</v>
      </c>
      <c r="B44">
        <f t="shared" si="1"/>
        <v>0.73</v>
      </c>
      <c r="C44">
        <f t="shared" si="2"/>
        <v>18.3</v>
      </c>
      <c r="D44">
        <f t="shared" si="3"/>
        <v>74.540000000000035</v>
      </c>
      <c r="E44">
        <f t="shared" si="4"/>
        <v>8.77</v>
      </c>
      <c r="F44">
        <f t="shared" si="0"/>
        <v>13.839999999999995</v>
      </c>
      <c r="G44">
        <f t="shared" si="5"/>
        <v>37.299999999999997</v>
      </c>
    </row>
    <row r="45" spans="1:7" x14ac:dyDescent="0.25">
      <c r="A45">
        <v>38</v>
      </c>
      <c r="B45">
        <f t="shared" si="1"/>
        <v>0.7</v>
      </c>
      <c r="C45">
        <f t="shared" si="2"/>
        <v>17.600000000000001</v>
      </c>
      <c r="D45">
        <f t="shared" si="3"/>
        <v>75.490000000000038</v>
      </c>
      <c r="E45">
        <f t="shared" si="4"/>
        <v>9.7199999999999989</v>
      </c>
      <c r="F45">
        <f t="shared" si="0"/>
        <v>13.009999999999994</v>
      </c>
    </row>
    <row r="46" spans="1:7" x14ac:dyDescent="0.25">
      <c r="A46">
        <v>39</v>
      </c>
      <c r="B46">
        <f t="shared" si="1"/>
        <v>0.67</v>
      </c>
      <c r="C46">
        <f t="shared" si="2"/>
        <v>16.899999999999999</v>
      </c>
      <c r="D46">
        <f t="shared" si="3"/>
        <v>76.410000000000039</v>
      </c>
      <c r="E46">
        <f t="shared" si="4"/>
        <v>10.639999999999999</v>
      </c>
      <c r="F46">
        <f t="shared" si="0"/>
        <v>12.209999999999996</v>
      </c>
    </row>
    <row r="47" spans="1:7" x14ac:dyDescent="0.25">
      <c r="A47">
        <v>40</v>
      </c>
      <c r="B47">
        <f t="shared" si="1"/>
        <v>0.65</v>
      </c>
      <c r="C47">
        <f t="shared" si="2"/>
        <v>16.3</v>
      </c>
      <c r="D47">
        <f t="shared" si="3"/>
        <v>77.310000000000045</v>
      </c>
      <c r="E47">
        <f t="shared" si="4"/>
        <v>11.54</v>
      </c>
      <c r="F47">
        <f t="shared" si="0"/>
        <v>11.439999999999996</v>
      </c>
    </row>
    <row r="48" spans="1:7" x14ac:dyDescent="0.25">
      <c r="A48">
        <v>41</v>
      </c>
      <c r="B48">
        <f t="shared" si="1"/>
        <v>0.62</v>
      </c>
      <c r="C48">
        <f t="shared" si="2"/>
        <v>15.7</v>
      </c>
      <c r="D48">
        <f t="shared" si="3"/>
        <v>78.180000000000049</v>
      </c>
      <c r="E48">
        <f t="shared" si="4"/>
        <v>12.409999999999998</v>
      </c>
      <c r="F48">
        <f t="shared" si="0"/>
        <v>10.689999999999996</v>
      </c>
    </row>
    <row r="49" spans="1:6" x14ac:dyDescent="0.25">
      <c r="A49">
        <v>42</v>
      </c>
      <c r="B49">
        <f t="shared" si="1"/>
        <v>0.6</v>
      </c>
      <c r="C49">
        <f t="shared" si="2"/>
        <v>15.2</v>
      </c>
      <c r="D49">
        <f t="shared" si="3"/>
        <v>79.030000000000044</v>
      </c>
      <c r="E49">
        <f t="shared" si="4"/>
        <v>13.259999999999998</v>
      </c>
      <c r="F49">
        <f t="shared" si="0"/>
        <v>9.9699999999999971</v>
      </c>
    </row>
    <row r="50" spans="1:6" x14ac:dyDescent="0.25">
      <c r="A50">
        <v>43</v>
      </c>
      <c r="B50">
        <f t="shared" si="1"/>
        <v>0.56999999999999995</v>
      </c>
      <c r="C50">
        <f t="shared" si="2"/>
        <v>14.7</v>
      </c>
      <c r="D50">
        <f t="shared" si="3"/>
        <v>79.850000000000037</v>
      </c>
      <c r="E50">
        <f t="shared" si="4"/>
        <v>14.079999999999998</v>
      </c>
      <c r="F50">
        <f t="shared" si="0"/>
        <v>9.2699999999999978</v>
      </c>
    </row>
    <row r="51" spans="1:6" x14ac:dyDescent="0.25">
      <c r="A51">
        <v>44</v>
      </c>
      <c r="B51">
        <f t="shared" si="1"/>
        <v>0.55000000000000004</v>
      </c>
      <c r="C51">
        <f t="shared" si="2"/>
        <v>14.2</v>
      </c>
      <c r="D51">
        <f t="shared" si="3"/>
        <v>80.650000000000034</v>
      </c>
      <c r="E51">
        <f t="shared" si="4"/>
        <v>14.879999999999999</v>
      </c>
      <c r="F51">
        <f t="shared" si="0"/>
        <v>8.5999999999999979</v>
      </c>
    </row>
    <row r="52" spans="1:6" x14ac:dyDescent="0.25">
      <c r="A52">
        <v>45</v>
      </c>
      <c r="B52">
        <f t="shared" si="1"/>
        <v>0.53</v>
      </c>
      <c r="C52">
        <f t="shared" si="2"/>
        <v>13.7</v>
      </c>
      <c r="D52">
        <f t="shared" si="3"/>
        <v>81.430000000000035</v>
      </c>
      <c r="E52">
        <f t="shared" si="4"/>
        <v>15.659999999999998</v>
      </c>
      <c r="F52">
        <f t="shared" si="0"/>
        <v>7.9499999999999975</v>
      </c>
    </row>
    <row r="53" spans="1:6" x14ac:dyDescent="0.25">
      <c r="A53">
        <v>46</v>
      </c>
      <c r="B53">
        <f t="shared" si="1"/>
        <v>0.51</v>
      </c>
      <c r="C53">
        <f t="shared" si="2"/>
        <v>13.3</v>
      </c>
      <c r="D53">
        <f t="shared" si="3"/>
        <v>82.19000000000004</v>
      </c>
      <c r="E53">
        <f t="shared" si="4"/>
        <v>16.419999999999998</v>
      </c>
      <c r="F53">
        <f t="shared" si="0"/>
        <v>7.3199999999999976</v>
      </c>
    </row>
    <row r="54" spans="1:6" x14ac:dyDescent="0.25">
      <c r="A54">
        <v>47</v>
      </c>
      <c r="B54">
        <f t="shared" si="1"/>
        <v>0.49</v>
      </c>
      <c r="C54">
        <f t="shared" si="2"/>
        <v>12.9</v>
      </c>
      <c r="D54">
        <f t="shared" si="3"/>
        <v>82.930000000000035</v>
      </c>
      <c r="E54">
        <f t="shared" si="4"/>
        <v>17.159999999999997</v>
      </c>
      <c r="F54">
        <f t="shared" si="0"/>
        <v>6.7099999999999982</v>
      </c>
    </row>
    <row r="55" spans="1:6" x14ac:dyDescent="0.25">
      <c r="A55">
        <v>48</v>
      </c>
      <c r="B55">
        <f t="shared" si="1"/>
        <v>0.47</v>
      </c>
      <c r="C55">
        <f t="shared" si="2"/>
        <v>12.5</v>
      </c>
      <c r="D55">
        <f t="shared" si="3"/>
        <v>83.650000000000034</v>
      </c>
      <c r="E55">
        <f t="shared" si="4"/>
        <v>17.879999999999995</v>
      </c>
      <c r="F55">
        <f t="shared" si="0"/>
        <v>6.1199999999999983</v>
      </c>
    </row>
    <row r="56" spans="1:6" x14ac:dyDescent="0.25">
      <c r="A56">
        <v>49</v>
      </c>
      <c r="B56">
        <f t="shared" si="1"/>
        <v>0.45</v>
      </c>
      <c r="C56">
        <f t="shared" si="2"/>
        <v>12.1</v>
      </c>
      <c r="D56">
        <f t="shared" si="3"/>
        <v>84.350000000000037</v>
      </c>
      <c r="E56">
        <f t="shared" si="4"/>
        <v>18.579999999999995</v>
      </c>
      <c r="F56">
        <f t="shared" si="0"/>
        <v>5.5499999999999989</v>
      </c>
    </row>
    <row r="57" spans="1:6" x14ac:dyDescent="0.25">
      <c r="A57">
        <v>50</v>
      </c>
      <c r="B57">
        <f t="shared" si="1"/>
        <v>0.43</v>
      </c>
      <c r="C57">
        <f t="shared" si="2"/>
        <v>11.8</v>
      </c>
      <c r="D57">
        <f t="shared" si="3"/>
        <v>85.030000000000044</v>
      </c>
      <c r="E57">
        <f t="shared" si="4"/>
        <v>19.259999999999994</v>
      </c>
      <c r="F57">
        <f t="shared" si="0"/>
        <v>4.9999999999999991</v>
      </c>
    </row>
    <row r="58" spans="1:6" x14ac:dyDescent="0.25">
      <c r="A58">
        <v>51</v>
      </c>
      <c r="B58">
        <f t="shared" si="1"/>
        <v>0.41</v>
      </c>
      <c r="C58">
        <f t="shared" si="2"/>
        <v>11.5</v>
      </c>
      <c r="D58">
        <f t="shared" si="3"/>
        <v>85.69000000000004</v>
      </c>
      <c r="E58">
        <f t="shared" si="4"/>
        <v>19.919999999999995</v>
      </c>
      <c r="F58">
        <f t="shared" si="0"/>
        <v>4.47</v>
      </c>
    </row>
    <row r="59" spans="1:6" x14ac:dyDescent="0.25">
      <c r="A59">
        <v>52</v>
      </c>
      <c r="B59">
        <f t="shared" si="1"/>
        <v>0.4</v>
      </c>
      <c r="C59">
        <f t="shared" si="2"/>
        <v>11.2</v>
      </c>
      <c r="D59">
        <f t="shared" si="3"/>
        <v>86.340000000000046</v>
      </c>
      <c r="E59">
        <f t="shared" si="4"/>
        <v>20.569999999999993</v>
      </c>
      <c r="F59">
        <f t="shared" si="0"/>
        <v>3.9600000000000004</v>
      </c>
    </row>
    <row r="60" spans="1:6" x14ac:dyDescent="0.25">
      <c r="A60">
        <v>53</v>
      </c>
      <c r="B60">
        <f t="shared" si="1"/>
        <v>0.38</v>
      </c>
      <c r="C60">
        <f t="shared" si="2"/>
        <v>10.9</v>
      </c>
      <c r="D60">
        <f t="shared" si="3"/>
        <v>86.970000000000041</v>
      </c>
      <c r="E60">
        <f t="shared" si="4"/>
        <v>21.199999999999992</v>
      </c>
      <c r="F60">
        <f t="shared" si="0"/>
        <v>3.4600000000000004</v>
      </c>
    </row>
    <row r="61" spans="1:6" x14ac:dyDescent="0.25">
      <c r="A61">
        <v>54</v>
      </c>
      <c r="B61">
        <f t="shared" si="1"/>
        <v>0.37</v>
      </c>
      <c r="C61">
        <f t="shared" si="2"/>
        <v>10.6</v>
      </c>
      <c r="D61">
        <f t="shared" si="3"/>
        <v>87.590000000000046</v>
      </c>
      <c r="E61">
        <f t="shared" si="4"/>
        <v>21.819999999999993</v>
      </c>
      <c r="F61">
        <f t="shared" si="0"/>
        <v>2.9800000000000004</v>
      </c>
    </row>
    <row r="62" spans="1:6" x14ac:dyDescent="0.25">
      <c r="A62">
        <v>55</v>
      </c>
      <c r="B62">
        <f t="shared" si="1"/>
        <v>0.35</v>
      </c>
      <c r="C62">
        <f t="shared" si="2"/>
        <v>10.3</v>
      </c>
      <c r="D62">
        <f t="shared" si="3"/>
        <v>88.19000000000004</v>
      </c>
      <c r="E62">
        <f t="shared" si="4"/>
        <v>22.419999999999995</v>
      </c>
      <c r="F62">
        <f t="shared" si="0"/>
        <v>2.5100000000000002</v>
      </c>
    </row>
    <row r="63" spans="1:6" x14ac:dyDescent="0.25">
      <c r="A63">
        <v>56</v>
      </c>
      <c r="B63">
        <f t="shared" si="1"/>
        <v>0.34</v>
      </c>
      <c r="C63">
        <f t="shared" si="2"/>
        <v>10.1</v>
      </c>
      <c r="D63">
        <f t="shared" si="3"/>
        <v>88.780000000000044</v>
      </c>
      <c r="E63">
        <f t="shared" si="4"/>
        <v>0.59000000000000008</v>
      </c>
      <c r="F63">
        <f t="shared" si="0"/>
        <v>2.06</v>
      </c>
    </row>
    <row r="64" spans="1:6" x14ac:dyDescent="0.25">
      <c r="A64">
        <v>57</v>
      </c>
      <c r="B64">
        <f t="shared" si="1"/>
        <v>0.32</v>
      </c>
      <c r="C64">
        <f t="shared" si="2"/>
        <v>9.9</v>
      </c>
      <c r="D64">
        <f t="shared" si="3"/>
        <v>89.350000000000037</v>
      </c>
      <c r="E64">
        <f t="shared" si="4"/>
        <v>1.1600000000000001</v>
      </c>
      <c r="F64">
        <f t="shared" si="0"/>
        <v>1.62</v>
      </c>
    </row>
    <row r="65" spans="1:6" x14ac:dyDescent="0.25">
      <c r="A65">
        <v>58</v>
      </c>
      <c r="B65">
        <f t="shared" si="1"/>
        <v>0.31</v>
      </c>
      <c r="C65">
        <f t="shared" si="2"/>
        <v>9.6</v>
      </c>
      <c r="D65">
        <f t="shared" si="3"/>
        <v>89.910000000000039</v>
      </c>
      <c r="E65">
        <f t="shared" si="4"/>
        <v>1.7200000000000002</v>
      </c>
      <c r="F65">
        <f t="shared" si="0"/>
        <v>1.2</v>
      </c>
    </row>
    <row r="66" spans="1:6" x14ac:dyDescent="0.25">
      <c r="A66">
        <v>59</v>
      </c>
      <c r="B66">
        <f t="shared" si="1"/>
        <v>0.3</v>
      </c>
      <c r="C66">
        <f t="shared" si="2"/>
        <v>9.4</v>
      </c>
      <c r="D66">
        <f t="shared" si="3"/>
        <v>90.460000000000036</v>
      </c>
      <c r="E66">
        <f t="shared" si="4"/>
        <v>2.27</v>
      </c>
      <c r="F66">
        <f t="shared" si="0"/>
        <v>0.78999999999999992</v>
      </c>
    </row>
    <row r="67" spans="1:6" x14ac:dyDescent="0.25">
      <c r="A67">
        <v>60</v>
      </c>
      <c r="B67">
        <f t="shared" si="1"/>
        <v>0.28999999999999998</v>
      </c>
      <c r="C67">
        <f t="shared" si="2"/>
        <v>9.3000000000000007</v>
      </c>
      <c r="D67">
        <f t="shared" si="3"/>
        <v>91.000000000000043</v>
      </c>
      <c r="E67">
        <f t="shared" si="4"/>
        <v>2.81</v>
      </c>
      <c r="F67">
        <f t="shared" si="0"/>
        <v>0.39</v>
      </c>
    </row>
  </sheetData>
  <conditionalFormatting sqref="E7:E68">
    <cfRule type="cellIs" dxfId="8" priority="1" operator="lessThan">
      <formula>6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021AE-1395-42C9-B305-51779B74984F}">
  <dimension ref="A2:S79"/>
  <sheetViews>
    <sheetView tabSelected="1" workbookViewId="0">
      <selection activeCell="K12" sqref="K12:Q12"/>
    </sheetView>
  </sheetViews>
  <sheetFormatPr defaultRowHeight="15" x14ac:dyDescent="0.25"/>
  <cols>
    <col min="1" max="1" width="15.28515625" customWidth="1"/>
  </cols>
  <sheetData>
    <row r="2" spans="1:19" x14ac:dyDescent="0.25">
      <c r="A2" t="s">
        <v>3</v>
      </c>
      <c r="B2">
        <v>3.3</v>
      </c>
      <c r="C2" t="s">
        <v>7</v>
      </c>
      <c r="D2">
        <v>0.25</v>
      </c>
      <c r="G2">
        <v>0.1</v>
      </c>
    </row>
    <row r="3" spans="1:19" x14ac:dyDescent="0.25">
      <c r="A3" t="s">
        <v>0</v>
      </c>
      <c r="B3">
        <v>6</v>
      </c>
      <c r="C3" t="s">
        <v>9</v>
      </c>
      <c r="D3">
        <v>120</v>
      </c>
    </row>
    <row r="4" spans="1:19" x14ac:dyDescent="0.25">
      <c r="A4" t="s">
        <v>1</v>
      </c>
      <c r="B4">
        <v>110</v>
      </c>
      <c r="C4" t="s">
        <v>11</v>
      </c>
      <c r="D4">
        <v>25</v>
      </c>
    </row>
    <row r="5" spans="1:19" x14ac:dyDescent="0.25">
      <c r="A5" t="s">
        <v>5</v>
      </c>
      <c r="B5">
        <f>B4-B3</f>
        <v>104</v>
      </c>
      <c r="C5" t="s">
        <v>12</v>
      </c>
      <c r="D5">
        <v>23</v>
      </c>
    </row>
    <row r="6" spans="1:19" x14ac:dyDescent="0.25">
      <c r="A6" t="s">
        <v>2</v>
      </c>
      <c r="B6" t="s">
        <v>4</v>
      </c>
      <c r="C6" t="s">
        <v>6</v>
      </c>
      <c r="D6" t="s">
        <v>8</v>
      </c>
      <c r="F6" t="s">
        <v>10</v>
      </c>
      <c r="G6" t="s">
        <v>13</v>
      </c>
    </row>
    <row r="7" spans="1:19" x14ac:dyDescent="0.25">
      <c r="A7">
        <v>0</v>
      </c>
      <c r="B7">
        <f>ROUND($B$2*POWER(2,-A7/17),2)</f>
        <v>3.3</v>
      </c>
      <c r="C7">
        <f>ROUND($B$3+$B$5*POWER(2,-A7/12),1)</f>
        <v>110</v>
      </c>
      <c r="D7">
        <f>B7+$D$2</f>
        <v>3.55</v>
      </c>
      <c r="E7">
        <f>IF(C7 &gt; $D$3, 0, B7+$D$2)</f>
        <v>3.55</v>
      </c>
      <c r="F7">
        <f t="shared" ref="F7:F67" si="0">IF(C7 &gt; $D$4, 0, F8+B7+$G$2)</f>
        <v>0</v>
      </c>
    </row>
    <row r="8" spans="1:19" x14ac:dyDescent="0.25">
      <c r="A8">
        <v>1</v>
      </c>
      <c r="B8">
        <f t="shared" ref="B8:B68" si="1">ROUND($B$2*POWER(2,-A8/17),2)</f>
        <v>3.17</v>
      </c>
      <c r="C8">
        <f t="shared" ref="C8:C68" si="2">ROUND($B$3+$B$5*POWER(2,-A8/12),1)</f>
        <v>104.2</v>
      </c>
      <c r="D8">
        <f>D7+B8+$D$2</f>
        <v>6.97</v>
      </c>
      <c r="E8">
        <f>IF(C8 &gt; $D$3, 0, IF(E7+B8+$D$2 &gt; $D$5, B8+$D$2, E7+B8+$D$2))</f>
        <v>6.97</v>
      </c>
      <c r="F8">
        <f t="shared" si="0"/>
        <v>0</v>
      </c>
      <c r="G8">
        <f>C8+C7</f>
        <v>214.2</v>
      </c>
      <c r="K8" t="s">
        <v>14</v>
      </c>
      <c r="L8" t="s">
        <v>20</v>
      </c>
      <c r="M8" t="s">
        <v>16</v>
      </c>
      <c r="N8" t="s">
        <v>17</v>
      </c>
      <c r="O8" t="s">
        <v>18</v>
      </c>
      <c r="P8" t="s">
        <v>19</v>
      </c>
      <c r="Q8" t="s">
        <v>21</v>
      </c>
    </row>
    <row r="9" spans="1:19" x14ac:dyDescent="0.25">
      <c r="A9">
        <v>2</v>
      </c>
      <c r="B9">
        <f t="shared" si="1"/>
        <v>3.04</v>
      </c>
      <c r="C9">
        <f t="shared" si="2"/>
        <v>98.7</v>
      </c>
      <c r="D9">
        <f t="shared" ref="D9:D67" si="3">D8+B9+$D$2</f>
        <v>10.26</v>
      </c>
      <c r="E9">
        <f t="shared" ref="E9:E67" si="4">IF(C9 &gt; $D$3, 0, IF(E8+B9+$D$2 &gt; $D$5, B9+$D$2, E8+B9+$D$2))</f>
        <v>10.26</v>
      </c>
      <c r="F9">
        <f t="shared" si="0"/>
        <v>0</v>
      </c>
      <c r="G9">
        <f t="shared" ref="G9:G44" si="5">C9+C8</f>
        <v>202.9</v>
      </c>
      <c r="K9" s="1" t="s">
        <v>25</v>
      </c>
      <c r="L9" s="1">
        <v>22.25</v>
      </c>
      <c r="M9" s="1">
        <v>110</v>
      </c>
      <c r="N9" s="1">
        <v>79.5</v>
      </c>
      <c r="O9" s="1">
        <v>3.3</v>
      </c>
      <c r="P9" s="1">
        <v>2.58</v>
      </c>
      <c r="Q9" s="1">
        <v>7</v>
      </c>
      <c r="S9" t="s">
        <v>118</v>
      </c>
    </row>
    <row r="10" spans="1:19" x14ac:dyDescent="0.25">
      <c r="A10">
        <v>3</v>
      </c>
      <c r="B10">
        <f t="shared" si="1"/>
        <v>2.92</v>
      </c>
      <c r="C10">
        <f t="shared" si="2"/>
        <v>93.5</v>
      </c>
      <c r="D10">
        <f t="shared" si="3"/>
        <v>13.43</v>
      </c>
      <c r="E10">
        <f t="shared" si="4"/>
        <v>13.43</v>
      </c>
      <c r="F10">
        <f t="shared" si="0"/>
        <v>0</v>
      </c>
      <c r="G10">
        <f t="shared" si="5"/>
        <v>192.2</v>
      </c>
      <c r="K10" s="1" t="s">
        <v>26</v>
      </c>
      <c r="L10" s="1">
        <v>21.32</v>
      </c>
      <c r="M10" s="1">
        <v>75.400000000000006</v>
      </c>
      <c r="N10" s="1">
        <v>49.7</v>
      </c>
      <c r="O10" s="1">
        <v>2.48</v>
      </c>
      <c r="P10" s="1">
        <v>1.79</v>
      </c>
      <c r="Q10" s="1">
        <v>9</v>
      </c>
    </row>
    <row r="11" spans="1:19" x14ac:dyDescent="0.25">
      <c r="A11">
        <v>4</v>
      </c>
      <c r="B11">
        <f t="shared" si="1"/>
        <v>2.8</v>
      </c>
      <c r="C11">
        <f t="shared" si="2"/>
        <v>88.5</v>
      </c>
      <c r="D11">
        <f t="shared" si="3"/>
        <v>16.48</v>
      </c>
      <c r="E11">
        <f t="shared" si="4"/>
        <v>16.48</v>
      </c>
      <c r="F11">
        <f t="shared" si="0"/>
        <v>0</v>
      </c>
      <c r="G11">
        <f t="shared" si="5"/>
        <v>182</v>
      </c>
      <c r="K11" s="1" t="s">
        <v>27</v>
      </c>
      <c r="L11" s="1">
        <v>22.2</v>
      </c>
      <c r="M11" s="1">
        <v>47.3</v>
      </c>
      <c r="N11" s="1">
        <v>25.5</v>
      </c>
      <c r="O11" s="1">
        <v>1.72</v>
      </c>
      <c r="P11" s="1">
        <v>1.01</v>
      </c>
      <c r="Q11" s="1">
        <v>14</v>
      </c>
    </row>
    <row r="12" spans="1:19" x14ac:dyDescent="0.25">
      <c r="A12">
        <v>5</v>
      </c>
      <c r="B12">
        <f t="shared" si="1"/>
        <v>2.69</v>
      </c>
      <c r="C12">
        <f t="shared" si="2"/>
        <v>83.9</v>
      </c>
      <c r="D12">
        <f t="shared" si="3"/>
        <v>19.420000000000002</v>
      </c>
      <c r="E12">
        <f t="shared" si="4"/>
        <v>19.420000000000002</v>
      </c>
      <c r="F12">
        <f t="shared" si="0"/>
        <v>0</v>
      </c>
      <c r="G12">
        <f t="shared" si="5"/>
        <v>172.4</v>
      </c>
      <c r="K12" s="2" t="s">
        <v>114</v>
      </c>
      <c r="L12" s="2">
        <v>23</v>
      </c>
      <c r="M12" s="2">
        <v>23</v>
      </c>
      <c r="N12" s="2">
        <v>7.6</v>
      </c>
      <c r="O12" s="2">
        <v>0.97</v>
      </c>
      <c r="P12" s="2">
        <v>0.2</v>
      </c>
      <c r="Q12" s="2">
        <v>43</v>
      </c>
    </row>
    <row r="13" spans="1:19" x14ac:dyDescent="0.25">
      <c r="A13">
        <v>6</v>
      </c>
      <c r="B13">
        <f t="shared" si="1"/>
        <v>2.58</v>
      </c>
      <c r="C13">
        <f t="shared" si="2"/>
        <v>79.5</v>
      </c>
      <c r="D13">
        <f t="shared" si="3"/>
        <v>22.25</v>
      </c>
      <c r="E13">
        <f t="shared" si="4"/>
        <v>22.25</v>
      </c>
      <c r="F13">
        <f t="shared" si="0"/>
        <v>0</v>
      </c>
      <c r="G13">
        <f t="shared" si="5"/>
        <v>163.4</v>
      </c>
      <c r="K13" t="s">
        <v>24</v>
      </c>
      <c r="L13">
        <f>SUM(L9:L12)</f>
        <v>88.77</v>
      </c>
      <c r="Q13">
        <f>SUM(Q9:Q12)</f>
        <v>73</v>
      </c>
    </row>
    <row r="14" spans="1:19" x14ac:dyDescent="0.25">
      <c r="A14">
        <v>7</v>
      </c>
      <c r="B14">
        <f t="shared" si="1"/>
        <v>2.48</v>
      </c>
      <c r="C14">
        <f t="shared" si="2"/>
        <v>75.400000000000006</v>
      </c>
      <c r="D14">
        <f t="shared" si="3"/>
        <v>24.98</v>
      </c>
      <c r="E14">
        <f t="shared" si="4"/>
        <v>2.73</v>
      </c>
      <c r="F14">
        <f t="shared" si="0"/>
        <v>0</v>
      </c>
      <c r="G14">
        <f t="shared" si="5"/>
        <v>154.9</v>
      </c>
    </row>
    <row r="15" spans="1:19" x14ac:dyDescent="0.25">
      <c r="A15">
        <v>8</v>
      </c>
      <c r="B15">
        <f t="shared" si="1"/>
        <v>2.38</v>
      </c>
      <c r="C15">
        <f t="shared" si="2"/>
        <v>71.5</v>
      </c>
      <c r="D15">
        <f t="shared" si="3"/>
        <v>27.61</v>
      </c>
      <c r="E15">
        <f t="shared" si="4"/>
        <v>5.3599999999999994</v>
      </c>
      <c r="F15">
        <f t="shared" si="0"/>
        <v>0</v>
      </c>
      <c r="G15">
        <f t="shared" si="5"/>
        <v>146.9</v>
      </c>
    </row>
    <row r="16" spans="1:19" x14ac:dyDescent="0.25">
      <c r="A16">
        <v>9</v>
      </c>
      <c r="B16">
        <f t="shared" si="1"/>
        <v>2.29</v>
      </c>
      <c r="C16">
        <f t="shared" si="2"/>
        <v>67.8</v>
      </c>
      <c r="D16">
        <f t="shared" si="3"/>
        <v>30.15</v>
      </c>
      <c r="E16">
        <f t="shared" si="4"/>
        <v>7.8999999999999995</v>
      </c>
      <c r="F16">
        <f t="shared" si="0"/>
        <v>0</v>
      </c>
      <c r="G16">
        <f t="shared" si="5"/>
        <v>139.30000000000001</v>
      </c>
    </row>
    <row r="17" spans="1:7" x14ac:dyDescent="0.25">
      <c r="A17">
        <v>10</v>
      </c>
      <c r="B17">
        <f t="shared" si="1"/>
        <v>2.2000000000000002</v>
      </c>
      <c r="C17">
        <f t="shared" si="2"/>
        <v>64.400000000000006</v>
      </c>
      <c r="D17">
        <f t="shared" si="3"/>
        <v>32.6</v>
      </c>
      <c r="E17">
        <f t="shared" si="4"/>
        <v>10.35</v>
      </c>
      <c r="F17">
        <f t="shared" si="0"/>
        <v>0</v>
      </c>
      <c r="G17">
        <f t="shared" si="5"/>
        <v>132.19999999999999</v>
      </c>
    </row>
    <row r="18" spans="1:7" x14ac:dyDescent="0.25">
      <c r="A18">
        <v>11</v>
      </c>
      <c r="B18">
        <f t="shared" si="1"/>
        <v>2.11</v>
      </c>
      <c r="C18">
        <f t="shared" si="2"/>
        <v>61.1</v>
      </c>
      <c r="D18">
        <f t="shared" si="3"/>
        <v>34.96</v>
      </c>
      <c r="E18">
        <f t="shared" si="4"/>
        <v>12.709999999999999</v>
      </c>
      <c r="F18">
        <f t="shared" si="0"/>
        <v>0</v>
      </c>
      <c r="G18">
        <f t="shared" si="5"/>
        <v>125.5</v>
      </c>
    </row>
    <row r="19" spans="1:7" x14ac:dyDescent="0.25">
      <c r="A19">
        <v>12</v>
      </c>
      <c r="B19">
        <f t="shared" si="1"/>
        <v>2.02</v>
      </c>
      <c r="C19">
        <f t="shared" si="2"/>
        <v>58</v>
      </c>
      <c r="D19">
        <f t="shared" si="3"/>
        <v>37.230000000000004</v>
      </c>
      <c r="E19">
        <f t="shared" si="4"/>
        <v>14.979999999999999</v>
      </c>
      <c r="F19">
        <f t="shared" si="0"/>
        <v>0</v>
      </c>
      <c r="G19">
        <f t="shared" si="5"/>
        <v>119.1</v>
      </c>
    </row>
    <row r="20" spans="1:7" x14ac:dyDescent="0.25">
      <c r="A20">
        <v>13</v>
      </c>
      <c r="B20">
        <f t="shared" si="1"/>
        <v>1.94</v>
      </c>
      <c r="C20">
        <f t="shared" si="2"/>
        <v>55.1</v>
      </c>
      <c r="D20">
        <f t="shared" si="3"/>
        <v>39.42</v>
      </c>
      <c r="E20">
        <f t="shared" si="4"/>
        <v>17.169999999999998</v>
      </c>
      <c r="F20">
        <f t="shared" si="0"/>
        <v>0</v>
      </c>
      <c r="G20">
        <f t="shared" si="5"/>
        <v>113.1</v>
      </c>
    </row>
    <row r="21" spans="1:7" x14ac:dyDescent="0.25">
      <c r="A21">
        <v>14</v>
      </c>
      <c r="B21">
        <f t="shared" si="1"/>
        <v>1.86</v>
      </c>
      <c r="C21">
        <f t="shared" si="2"/>
        <v>52.3</v>
      </c>
      <c r="D21">
        <f t="shared" si="3"/>
        <v>41.53</v>
      </c>
      <c r="E21">
        <f t="shared" si="4"/>
        <v>19.279999999999998</v>
      </c>
      <c r="F21">
        <f t="shared" si="0"/>
        <v>0</v>
      </c>
      <c r="G21">
        <f t="shared" si="5"/>
        <v>107.4</v>
      </c>
    </row>
    <row r="22" spans="1:7" x14ac:dyDescent="0.25">
      <c r="A22">
        <v>15</v>
      </c>
      <c r="B22">
        <f t="shared" si="1"/>
        <v>1.79</v>
      </c>
      <c r="C22">
        <f t="shared" si="2"/>
        <v>49.7</v>
      </c>
      <c r="D22">
        <f t="shared" si="3"/>
        <v>43.57</v>
      </c>
      <c r="E22">
        <f t="shared" si="4"/>
        <v>21.319999999999997</v>
      </c>
      <c r="F22">
        <f t="shared" si="0"/>
        <v>0</v>
      </c>
      <c r="G22">
        <f t="shared" si="5"/>
        <v>102</v>
      </c>
    </row>
    <row r="23" spans="1:7" x14ac:dyDescent="0.25">
      <c r="A23">
        <v>16</v>
      </c>
      <c r="B23">
        <f t="shared" si="1"/>
        <v>1.72</v>
      </c>
      <c r="C23">
        <f t="shared" si="2"/>
        <v>47.3</v>
      </c>
      <c r="D23">
        <f t="shared" si="3"/>
        <v>45.54</v>
      </c>
      <c r="E23">
        <f t="shared" si="4"/>
        <v>1.97</v>
      </c>
      <c r="F23">
        <f t="shared" si="0"/>
        <v>0</v>
      </c>
      <c r="G23">
        <f t="shared" si="5"/>
        <v>97</v>
      </c>
    </row>
    <row r="24" spans="1:7" x14ac:dyDescent="0.25">
      <c r="A24">
        <v>17</v>
      </c>
      <c r="B24">
        <f t="shared" si="1"/>
        <v>1.65</v>
      </c>
      <c r="C24">
        <f t="shared" si="2"/>
        <v>45</v>
      </c>
      <c r="D24">
        <f t="shared" si="3"/>
        <v>47.44</v>
      </c>
      <c r="E24">
        <f t="shared" si="4"/>
        <v>3.87</v>
      </c>
      <c r="F24">
        <f t="shared" si="0"/>
        <v>0</v>
      </c>
      <c r="G24">
        <f t="shared" si="5"/>
        <v>92.3</v>
      </c>
    </row>
    <row r="25" spans="1:7" x14ac:dyDescent="0.25">
      <c r="A25">
        <v>18</v>
      </c>
      <c r="B25">
        <f t="shared" si="1"/>
        <v>1.58</v>
      </c>
      <c r="C25">
        <f t="shared" si="2"/>
        <v>42.8</v>
      </c>
      <c r="D25">
        <f t="shared" si="3"/>
        <v>49.269999999999996</v>
      </c>
      <c r="E25">
        <f t="shared" si="4"/>
        <v>5.7</v>
      </c>
      <c r="F25">
        <f t="shared" si="0"/>
        <v>0</v>
      </c>
      <c r="G25">
        <f t="shared" si="5"/>
        <v>87.8</v>
      </c>
    </row>
    <row r="26" spans="1:7" x14ac:dyDescent="0.25">
      <c r="A26">
        <v>19</v>
      </c>
      <c r="B26">
        <f t="shared" si="1"/>
        <v>1.52</v>
      </c>
      <c r="C26">
        <f t="shared" si="2"/>
        <v>40.700000000000003</v>
      </c>
      <c r="D26">
        <f t="shared" si="3"/>
        <v>51.04</v>
      </c>
      <c r="E26">
        <f t="shared" si="4"/>
        <v>7.4700000000000006</v>
      </c>
      <c r="F26">
        <f t="shared" si="0"/>
        <v>0</v>
      </c>
      <c r="G26">
        <f t="shared" si="5"/>
        <v>83.5</v>
      </c>
    </row>
    <row r="27" spans="1:7" x14ac:dyDescent="0.25">
      <c r="A27">
        <v>20</v>
      </c>
      <c r="B27">
        <f t="shared" si="1"/>
        <v>1.46</v>
      </c>
      <c r="C27">
        <f t="shared" si="2"/>
        <v>38.799999999999997</v>
      </c>
      <c r="D27">
        <f t="shared" si="3"/>
        <v>52.75</v>
      </c>
      <c r="E27">
        <f t="shared" si="4"/>
        <v>9.18</v>
      </c>
      <c r="F27">
        <f t="shared" si="0"/>
        <v>0</v>
      </c>
      <c r="G27">
        <f t="shared" si="5"/>
        <v>79.5</v>
      </c>
    </row>
    <row r="28" spans="1:7" x14ac:dyDescent="0.25">
      <c r="A28">
        <v>21</v>
      </c>
      <c r="B28">
        <f t="shared" si="1"/>
        <v>1.4</v>
      </c>
      <c r="C28">
        <f t="shared" si="2"/>
        <v>36.9</v>
      </c>
      <c r="D28">
        <f t="shared" si="3"/>
        <v>54.4</v>
      </c>
      <c r="E28">
        <f t="shared" si="4"/>
        <v>10.83</v>
      </c>
      <c r="F28">
        <f t="shared" si="0"/>
        <v>0</v>
      </c>
      <c r="G28">
        <f t="shared" si="5"/>
        <v>75.699999999999989</v>
      </c>
    </row>
    <row r="29" spans="1:7" x14ac:dyDescent="0.25">
      <c r="A29">
        <v>22</v>
      </c>
      <c r="B29">
        <f t="shared" si="1"/>
        <v>1.35</v>
      </c>
      <c r="C29">
        <f t="shared" si="2"/>
        <v>35.200000000000003</v>
      </c>
      <c r="D29">
        <f t="shared" si="3"/>
        <v>56</v>
      </c>
      <c r="E29">
        <f t="shared" si="4"/>
        <v>12.43</v>
      </c>
      <c r="F29">
        <f t="shared" si="0"/>
        <v>0</v>
      </c>
      <c r="G29">
        <f t="shared" si="5"/>
        <v>72.099999999999994</v>
      </c>
    </row>
    <row r="30" spans="1:7" x14ac:dyDescent="0.25">
      <c r="A30">
        <v>23</v>
      </c>
      <c r="B30">
        <f t="shared" si="1"/>
        <v>1.29</v>
      </c>
      <c r="C30">
        <f t="shared" si="2"/>
        <v>33.5</v>
      </c>
      <c r="D30">
        <f t="shared" si="3"/>
        <v>57.54</v>
      </c>
      <c r="E30">
        <f t="shared" si="4"/>
        <v>13.969999999999999</v>
      </c>
      <c r="F30">
        <f t="shared" si="0"/>
        <v>0</v>
      </c>
      <c r="G30">
        <f t="shared" si="5"/>
        <v>68.7</v>
      </c>
    </row>
    <row r="31" spans="1:7" x14ac:dyDescent="0.25">
      <c r="A31">
        <v>24</v>
      </c>
      <c r="B31">
        <f t="shared" si="1"/>
        <v>1.24</v>
      </c>
      <c r="C31">
        <f t="shared" si="2"/>
        <v>32</v>
      </c>
      <c r="D31">
        <f t="shared" si="3"/>
        <v>59.03</v>
      </c>
      <c r="E31">
        <f t="shared" si="4"/>
        <v>15.459999999999999</v>
      </c>
      <c r="F31">
        <f t="shared" si="0"/>
        <v>0</v>
      </c>
      <c r="G31">
        <f t="shared" si="5"/>
        <v>65.5</v>
      </c>
    </row>
    <row r="32" spans="1:7" x14ac:dyDescent="0.25">
      <c r="A32">
        <v>25</v>
      </c>
      <c r="B32">
        <f t="shared" si="1"/>
        <v>1.19</v>
      </c>
      <c r="C32">
        <f t="shared" si="2"/>
        <v>30.5</v>
      </c>
      <c r="D32">
        <f t="shared" si="3"/>
        <v>60.47</v>
      </c>
      <c r="E32">
        <f t="shared" si="4"/>
        <v>16.899999999999999</v>
      </c>
      <c r="F32">
        <f t="shared" si="0"/>
        <v>0</v>
      </c>
      <c r="G32">
        <f t="shared" si="5"/>
        <v>62.5</v>
      </c>
    </row>
    <row r="33" spans="1:7" x14ac:dyDescent="0.25">
      <c r="A33">
        <v>26</v>
      </c>
      <c r="B33">
        <f t="shared" si="1"/>
        <v>1.1399999999999999</v>
      </c>
      <c r="C33">
        <f t="shared" si="2"/>
        <v>29.2</v>
      </c>
      <c r="D33">
        <f t="shared" si="3"/>
        <v>61.86</v>
      </c>
      <c r="E33">
        <f t="shared" si="4"/>
        <v>18.29</v>
      </c>
      <c r="F33">
        <f t="shared" si="0"/>
        <v>0</v>
      </c>
      <c r="G33">
        <f t="shared" si="5"/>
        <v>59.7</v>
      </c>
    </row>
    <row r="34" spans="1:7" x14ac:dyDescent="0.25">
      <c r="A34">
        <v>27</v>
      </c>
      <c r="B34">
        <f t="shared" si="1"/>
        <v>1.1000000000000001</v>
      </c>
      <c r="C34">
        <f t="shared" si="2"/>
        <v>27.9</v>
      </c>
      <c r="D34">
        <f t="shared" si="3"/>
        <v>63.21</v>
      </c>
      <c r="E34">
        <f t="shared" si="4"/>
        <v>19.64</v>
      </c>
      <c r="F34">
        <f t="shared" si="0"/>
        <v>0</v>
      </c>
      <c r="G34">
        <f t="shared" si="5"/>
        <v>57.099999999999994</v>
      </c>
    </row>
    <row r="35" spans="1:7" x14ac:dyDescent="0.25">
      <c r="A35">
        <v>28</v>
      </c>
      <c r="B35">
        <f t="shared" si="1"/>
        <v>1.05</v>
      </c>
      <c r="C35">
        <f t="shared" si="2"/>
        <v>26.6</v>
      </c>
      <c r="D35">
        <f t="shared" si="3"/>
        <v>64.510000000000005</v>
      </c>
      <c r="E35">
        <f t="shared" si="4"/>
        <v>20.94</v>
      </c>
      <c r="F35">
        <f t="shared" si="0"/>
        <v>0</v>
      </c>
      <c r="G35">
        <f t="shared" si="5"/>
        <v>54.5</v>
      </c>
    </row>
    <row r="36" spans="1:7" x14ac:dyDescent="0.25">
      <c r="A36">
        <v>29</v>
      </c>
      <c r="B36">
        <f t="shared" si="1"/>
        <v>1.01</v>
      </c>
      <c r="C36">
        <f t="shared" si="2"/>
        <v>25.5</v>
      </c>
      <c r="D36">
        <f t="shared" si="3"/>
        <v>65.77000000000001</v>
      </c>
      <c r="E36">
        <f t="shared" si="4"/>
        <v>22.200000000000003</v>
      </c>
      <c r="F36">
        <f t="shared" si="0"/>
        <v>0</v>
      </c>
      <c r="G36">
        <f t="shared" si="5"/>
        <v>52.1</v>
      </c>
    </row>
    <row r="37" spans="1:7" x14ac:dyDescent="0.25">
      <c r="A37">
        <v>30</v>
      </c>
      <c r="B37">
        <f t="shared" si="1"/>
        <v>0.97</v>
      </c>
      <c r="C37">
        <f t="shared" si="2"/>
        <v>24.4</v>
      </c>
      <c r="D37">
        <f t="shared" si="3"/>
        <v>66.990000000000009</v>
      </c>
      <c r="E37">
        <f t="shared" si="4"/>
        <v>1.22</v>
      </c>
      <c r="F37">
        <f t="shared" si="0"/>
        <v>24.419999999999998</v>
      </c>
      <c r="G37">
        <f t="shared" si="5"/>
        <v>49.9</v>
      </c>
    </row>
    <row r="38" spans="1:7" x14ac:dyDescent="0.25">
      <c r="A38">
        <v>31</v>
      </c>
      <c r="B38">
        <f t="shared" si="1"/>
        <v>0.93</v>
      </c>
      <c r="C38">
        <f t="shared" si="2"/>
        <v>23.4</v>
      </c>
      <c r="D38">
        <f t="shared" si="3"/>
        <v>68.170000000000016</v>
      </c>
      <c r="E38">
        <f t="shared" si="4"/>
        <v>2.4</v>
      </c>
      <c r="F38">
        <f t="shared" si="0"/>
        <v>23.349999999999998</v>
      </c>
      <c r="G38">
        <f t="shared" si="5"/>
        <v>47.8</v>
      </c>
    </row>
    <row r="39" spans="1:7" x14ac:dyDescent="0.25">
      <c r="A39">
        <v>32</v>
      </c>
      <c r="B39">
        <f t="shared" si="1"/>
        <v>0.9</v>
      </c>
      <c r="C39">
        <f t="shared" si="2"/>
        <v>22.4</v>
      </c>
      <c r="D39">
        <f t="shared" si="3"/>
        <v>69.320000000000022</v>
      </c>
      <c r="E39">
        <f t="shared" si="4"/>
        <v>3.55</v>
      </c>
      <c r="F39">
        <f t="shared" si="0"/>
        <v>22.319999999999997</v>
      </c>
      <c r="G39">
        <f t="shared" si="5"/>
        <v>45.8</v>
      </c>
    </row>
    <row r="40" spans="1:7" x14ac:dyDescent="0.25">
      <c r="A40">
        <v>33</v>
      </c>
      <c r="B40">
        <f t="shared" si="1"/>
        <v>0.86</v>
      </c>
      <c r="C40">
        <f t="shared" si="2"/>
        <v>21.5</v>
      </c>
      <c r="D40">
        <f t="shared" si="3"/>
        <v>70.430000000000021</v>
      </c>
      <c r="E40">
        <f t="shared" si="4"/>
        <v>4.66</v>
      </c>
      <c r="F40">
        <f t="shared" si="0"/>
        <v>21.319999999999997</v>
      </c>
      <c r="G40">
        <f t="shared" si="5"/>
        <v>43.9</v>
      </c>
    </row>
    <row r="41" spans="1:7" x14ac:dyDescent="0.25">
      <c r="A41">
        <v>34</v>
      </c>
      <c r="B41">
        <f t="shared" si="1"/>
        <v>0.83</v>
      </c>
      <c r="C41">
        <f t="shared" si="2"/>
        <v>20.6</v>
      </c>
      <c r="D41">
        <f t="shared" si="3"/>
        <v>71.510000000000019</v>
      </c>
      <c r="E41">
        <f t="shared" si="4"/>
        <v>5.74</v>
      </c>
      <c r="F41">
        <f t="shared" si="0"/>
        <v>20.359999999999996</v>
      </c>
      <c r="G41">
        <f t="shared" si="5"/>
        <v>42.1</v>
      </c>
    </row>
    <row r="42" spans="1:7" x14ac:dyDescent="0.25">
      <c r="A42">
        <v>35</v>
      </c>
      <c r="B42">
        <f t="shared" si="1"/>
        <v>0.79</v>
      </c>
      <c r="C42">
        <f t="shared" si="2"/>
        <v>19.8</v>
      </c>
      <c r="D42">
        <f t="shared" si="3"/>
        <v>72.550000000000026</v>
      </c>
      <c r="E42">
        <f t="shared" si="4"/>
        <v>6.78</v>
      </c>
      <c r="F42">
        <f t="shared" si="0"/>
        <v>19.429999999999996</v>
      </c>
      <c r="G42">
        <f t="shared" si="5"/>
        <v>40.400000000000006</v>
      </c>
    </row>
    <row r="43" spans="1:7" x14ac:dyDescent="0.25">
      <c r="A43">
        <v>36</v>
      </c>
      <c r="B43">
        <f t="shared" si="1"/>
        <v>0.76</v>
      </c>
      <c r="C43">
        <f t="shared" si="2"/>
        <v>19</v>
      </c>
      <c r="D43">
        <f t="shared" si="3"/>
        <v>73.560000000000031</v>
      </c>
      <c r="E43">
        <f t="shared" si="4"/>
        <v>7.79</v>
      </c>
      <c r="F43">
        <f t="shared" si="0"/>
        <v>18.539999999999996</v>
      </c>
      <c r="G43">
        <f t="shared" si="5"/>
        <v>38.799999999999997</v>
      </c>
    </row>
    <row r="44" spans="1:7" x14ac:dyDescent="0.25">
      <c r="A44">
        <v>37</v>
      </c>
      <c r="B44">
        <f t="shared" si="1"/>
        <v>0.73</v>
      </c>
      <c r="C44">
        <f t="shared" si="2"/>
        <v>18.3</v>
      </c>
      <c r="D44">
        <f t="shared" si="3"/>
        <v>74.540000000000035</v>
      </c>
      <c r="E44">
        <f t="shared" si="4"/>
        <v>8.77</v>
      </c>
      <c r="F44">
        <f t="shared" si="0"/>
        <v>17.679999999999993</v>
      </c>
      <c r="G44">
        <f t="shared" si="5"/>
        <v>37.299999999999997</v>
      </c>
    </row>
    <row r="45" spans="1:7" x14ac:dyDescent="0.25">
      <c r="A45">
        <v>38</v>
      </c>
      <c r="B45">
        <f t="shared" si="1"/>
        <v>0.7</v>
      </c>
      <c r="C45">
        <f t="shared" si="2"/>
        <v>17.600000000000001</v>
      </c>
      <c r="D45">
        <f t="shared" si="3"/>
        <v>75.490000000000038</v>
      </c>
      <c r="E45">
        <f t="shared" si="4"/>
        <v>9.7199999999999989</v>
      </c>
      <c r="F45">
        <f t="shared" si="0"/>
        <v>16.849999999999991</v>
      </c>
    </row>
    <row r="46" spans="1:7" x14ac:dyDescent="0.25">
      <c r="A46">
        <v>39</v>
      </c>
      <c r="B46">
        <f t="shared" si="1"/>
        <v>0.67</v>
      </c>
      <c r="C46">
        <f t="shared" si="2"/>
        <v>16.899999999999999</v>
      </c>
      <c r="D46">
        <f t="shared" si="3"/>
        <v>76.410000000000039</v>
      </c>
      <c r="E46">
        <f t="shared" si="4"/>
        <v>10.639999999999999</v>
      </c>
      <c r="F46">
        <f t="shared" si="0"/>
        <v>16.04999999999999</v>
      </c>
    </row>
    <row r="47" spans="1:7" x14ac:dyDescent="0.25">
      <c r="A47">
        <v>40</v>
      </c>
      <c r="B47">
        <f t="shared" si="1"/>
        <v>0.65</v>
      </c>
      <c r="C47">
        <f t="shared" si="2"/>
        <v>16.3</v>
      </c>
      <c r="D47">
        <f t="shared" si="3"/>
        <v>77.310000000000045</v>
      </c>
      <c r="E47">
        <f t="shared" si="4"/>
        <v>11.54</v>
      </c>
      <c r="F47">
        <f t="shared" si="0"/>
        <v>15.27999999999999</v>
      </c>
    </row>
    <row r="48" spans="1:7" x14ac:dyDescent="0.25">
      <c r="A48">
        <v>41</v>
      </c>
      <c r="B48">
        <f t="shared" si="1"/>
        <v>0.62</v>
      </c>
      <c r="C48">
        <f t="shared" si="2"/>
        <v>15.7</v>
      </c>
      <c r="D48">
        <f t="shared" si="3"/>
        <v>78.180000000000049</v>
      </c>
      <c r="E48">
        <f t="shared" si="4"/>
        <v>12.409999999999998</v>
      </c>
      <c r="F48">
        <f t="shared" si="0"/>
        <v>14.52999999999999</v>
      </c>
    </row>
    <row r="49" spans="1:6" x14ac:dyDescent="0.25">
      <c r="A49">
        <v>42</v>
      </c>
      <c r="B49">
        <f t="shared" si="1"/>
        <v>0.6</v>
      </c>
      <c r="C49">
        <f t="shared" si="2"/>
        <v>15.2</v>
      </c>
      <c r="D49">
        <f t="shared" si="3"/>
        <v>79.030000000000044</v>
      </c>
      <c r="E49">
        <f t="shared" si="4"/>
        <v>13.259999999999998</v>
      </c>
      <c r="F49">
        <f t="shared" si="0"/>
        <v>13.809999999999992</v>
      </c>
    </row>
    <row r="50" spans="1:6" x14ac:dyDescent="0.25">
      <c r="A50">
        <v>43</v>
      </c>
      <c r="B50">
        <f t="shared" si="1"/>
        <v>0.56999999999999995</v>
      </c>
      <c r="C50">
        <f t="shared" si="2"/>
        <v>14.7</v>
      </c>
      <c r="D50">
        <f t="shared" si="3"/>
        <v>79.850000000000037</v>
      </c>
      <c r="E50">
        <f t="shared" si="4"/>
        <v>14.079999999999998</v>
      </c>
      <c r="F50">
        <f t="shared" si="0"/>
        <v>13.109999999999992</v>
      </c>
    </row>
    <row r="51" spans="1:6" x14ac:dyDescent="0.25">
      <c r="A51">
        <v>44</v>
      </c>
      <c r="B51">
        <f t="shared" si="1"/>
        <v>0.55000000000000004</v>
      </c>
      <c r="C51">
        <f t="shared" si="2"/>
        <v>14.2</v>
      </c>
      <c r="D51">
        <f t="shared" si="3"/>
        <v>80.650000000000034</v>
      </c>
      <c r="E51">
        <f t="shared" si="4"/>
        <v>14.879999999999999</v>
      </c>
      <c r="F51">
        <f t="shared" si="0"/>
        <v>12.439999999999992</v>
      </c>
    </row>
    <row r="52" spans="1:6" x14ac:dyDescent="0.25">
      <c r="A52">
        <v>45</v>
      </c>
      <c r="B52">
        <f t="shared" si="1"/>
        <v>0.53</v>
      </c>
      <c r="C52">
        <f t="shared" si="2"/>
        <v>13.7</v>
      </c>
      <c r="D52">
        <f t="shared" si="3"/>
        <v>81.430000000000035</v>
      </c>
      <c r="E52">
        <f t="shared" si="4"/>
        <v>15.659999999999998</v>
      </c>
      <c r="F52">
        <f t="shared" si="0"/>
        <v>11.789999999999992</v>
      </c>
    </row>
    <row r="53" spans="1:6" x14ac:dyDescent="0.25">
      <c r="A53">
        <v>46</v>
      </c>
      <c r="B53">
        <f t="shared" si="1"/>
        <v>0.51</v>
      </c>
      <c r="C53">
        <f t="shared" si="2"/>
        <v>13.3</v>
      </c>
      <c r="D53">
        <f t="shared" si="3"/>
        <v>82.19000000000004</v>
      </c>
      <c r="E53">
        <f t="shared" si="4"/>
        <v>16.419999999999998</v>
      </c>
      <c r="F53">
        <f t="shared" si="0"/>
        <v>11.159999999999993</v>
      </c>
    </row>
    <row r="54" spans="1:6" x14ac:dyDescent="0.25">
      <c r="A54">
        <v>47</v>
      </c>
      <c r="B54">
        <f t="shared" si="1"/>
        <v>0.49</v>
      </c>
      <c r="C54">
        <f t="shared" si="2"/>
        <v>12.9</v>
      </c>
      <c r="D54">
        <f t="shared" si="3"/>
        <v>82.930000000000035</v>
      </c>
      <c r="E54">
        <f t="shared" si="4"/>
        <v>17.159999999999997</v>
      </c>
      <c r="F54">
        <f t="shared" si="0"/>
        <v>10.549999999999994</v>
      </c>
    </row>
    <row r="55" spans="1:6" x14ac:dyDescent="0.25">
      <c r="A55">
        <v>48</v>
      </c>
      <c r="B55">
        <f t="shared" si="1"/>
        <v>0.47</v>
      </c>
      <c r="C55">
        <f t="shared" si="2"/>
        <v>12.5</v>
      </c>
      <c r="D55">
        <f t="shared" si="3"/>
        <v>83.650000000000034</v>
      </c>
      <c r="E55">
        <f t="shared" si="4"/>
        <v>17.879999999999995</v>
      </c>
      <c r="F55">
        <f t="shared" si="0"/>
        <v>9.9599999999999937</v>
      </c>
    </row>
    <row r="56" spans="1:6" x14ac:dyDescent="0.25">
      <c r="A56">
        <v>49</v>
      </c>
      <c r="B56">
        <f t="shared" si="1"/>
        <v>0.45</v>
      </c>
      <c r="C56">
        <f t="shared" si="2"/>
        <v>12.1</v>
      </c>
      <c r="D56">
        <f t="shared" si="3"/>
        <v>84.350000000000037</v>
      </c>
      <c r="E56">
        <f t="shared" si="4"/>
        <v>18.579999999999995</v>
      </c>
      <c r="F56">
        <f t="shared" si="0"/>
        <v>9.3899999999999935</v>
      </c>
    </row>
    <row r="57" spans="1:6" x14ac:dyDescent="0.25">
      <c r="A57">
        <v>50</v>
      </c>
      <c r="B57">
        <f t="shared" si="1"/>
        <v>0.43</v>
      </c>
      <c r="C57">
        <f t="shared" si="2"/>
        <v>11.8</v>
      </c>
      <c r="D57">
        <f t="shared" si="3"/>
        <v>85.030000000000044</v>
      </c>
      <c r="E57">
        <f t="shared" si="4"/>
        <v>19.259999999999994</v>
      </c>
      <c r="F57">
        <f t="shared" si="0"/>
        <v>8.8399999999999945</v>
      </c>
    </row>
    <row r="58" spans="1:6" x14ac:dyDescent="0.25">
      <c r="A58">
        <v>51</v>
      </c>
      <c r="B58">
        <f t="shared" si="1"/>
        <v>0.41</v>
      </c>
      <c r="C58">
        <f t="shared" si="2"/>
        <v>11.5</v>
      </c>
      <c r="D58">
        <f t="shared" si="3"/>
        <v>85.69000000000004</v>
      </c>
      <c r="E58">
        <f t="shared" si="4"/>
        <v>19.919999999999995</v>
      </c>
      <c r="F58">
        <f t="shared" si="0"/>
        <v>8.3099999999999952</v>
      </c>
    </row>
    <row r="59" spans="1:6" x14ac:dyDescent="0.25">
      <c r="A59">
        <v>52</v>
      </c>
      <c r="B59">
        <f t="shared" si="1"/>
        <v>0.4</v>
      </c>
      <c r="C59">
        <f t="shared" si="2"/>
        <v>11.2</v>
      </c>
      <c r="D59">
        <f t="shared" si="3"/>
        <v>86.340000000000046</v>
      </c>
      <c r="E59">
        <f t="shared" si="4"/>
        <v>20.569999999999993</v>
      </c>
      <c r="F59">
        <f t="shared" si="0"/>
        <v>7.7999999999999963</v>
      </c>
    </row>
    <row r="60" spans="1:6" x14ac:dyDescent="0.25">
      <c r="A60">
        <v>53</v>
      </c>
      <c r="B60">
        <f t="shared" si="1"/>
        <v>0.38</v>
      </c>
      <c r="C60">
        <f t="shared" si="2"/>
        <v>10.9</v>
      </c>
      <c r="D60">
        <f t="shared" si="3"/>
        <v>86.970000000000041</v>
      </c>
      <c r="E60">
        <f t="shared" si="4"/>
        <v>21.199999999999992</v>
      </c>
      <c r="F60">
        <f t="shared" si="0"/>
        <v>7.2999999999999963</v>
      </c>
    </row>
    <row r="61" spans="1:6" x14ac:dyDescent="0.25">
      <c r="A61">
        <v>54</v>
      </c>
      <c r="B61">
        <f t="shared" si="1"/>
        <v>0.37</v>
      </c>
      <c r="C61">
        <f t="shared" si="2"/>
        <v>10.6</v>
      </c>
      <c r="D61">
        <f t="shared" si="3"/>
        <v>87.590000000000046</v>
      </c>
      <c r="E61">
        <f t="shared" si="4"/>
        <v>21.819999999999993</v>
      </c>
      <c r="F61">
        <f t="shared" si="0"/>
        <v>6.8199999999999967</v>
      </c>
    </row>
    <row r="62" spans="1:6" x14ac:dyDescent="0.25">
      <c r="A62">
        <v>55</v>
      </c>
      <c r="B62">
        <f t="shared" si="1"/>
        <v>0.35</v>
      </c>
      <c r="C62">
        <f t="shared" si="2"/>
        <v>10.3</v>
      </c>
      <c r="D62">
        <f t="shared" si="3"/>
        <v>88.19000000000004</v>
      </c>
      <c r="E62">
        <f t="shared" si="4"/>
        <v>22.419999999999995</v>
      </c>
      <c r="F62">
        <f t="shared" si="0"/>
        <v>6.349999999999997</v>
      </c>
    </row>
    <row r="63" spans="1:6" x14ac:dyDescent="0.25">
      <c r="A63">
        <v>56</v>
      </c>
      <c r="B63">
        <f t="shared" si="1"/>
        <v>0.34</v>
      </c>
      <c r="C63">
        <f t="shared" si="2"/>
        <v>10.1</v>
      </c>
      <c r="D63">
        <f t="shared" si="3"/>
        <v>88.780000000000044</v>
      </c>
      <c r="E63">
        <f t="shared" si="4"/>
        <v>0.59000000000000008</v>
      </c>
      <c r="F63">
        <f t="shared" si="0"/>
        <v>5.8999999999999977</v>
      </c>
    </row>
    <row r="64" spans="1:6" x14ac:dyDescent="0.25">
      <c r="A64">
        <v>57</v>
      </c>
      <c r="B64">
        <f t="shared" si="1"/>
        <v>0.32</v>
      </c>
      <c r="C64">
        <f t="shared" si="2"/>
        <v>9.9</v>
      </c>
      <c r="D64">
        <f t="shared" si="3"/>
        <v>89.350000000000037</v>
      </c>
      <c r="E64">
        <f t="shared" si="4"/>
        <v>1.1600000000000001</v>
      </c>
      <c r="F64">
        <f t="shared" si="0"/>
        <v>5.4599999999999982</v>
      </c>
    </row>
    <row r="65" spans="1:6" x14ac:dyDescent="0.25">
      <c r="A65">
        <v>58</v>
      </c>
      <c r="B65">
        <f t="shared" si="1"/>
        <v>0.31</v>
      </c>
      <c r="C65">
        <f t="shared" si="2"/>
        <v>9.6</v>
      </c>
      <c r="D65">
        <f t="shared" si="3"/>
        <v>89.910000000000039</v>
      </c>
      <c r="E65">
        <f t="shared" si="4"/>
        <v>1.7200000000000002</v>
      </c>
      <c r="F65">
        <f t="shared" si="0"/>
        <v>5.0399999999999983</v>
      </c>
    </row>
    <row r="66" spans="1:6" x14ac:dyDescent="0.25">
      <c r="A66">
        <v>59</v>
      </c>
      <c r="B66">
        <f t="shared" si="1"/>
        <v>0.3</v>
      </c>
      <c r="C66">
        <f t="shared" si="2"/>
        <v>9.4</v>
      </c>
      <c r="D66">
        <f t="shared" si="3"/>
        <v>90.460000000000036</v>
      </c>
      <c r="E66">
        <f t="shared" si="4"/>
        <v>2.27</v>
      </c>
      <c r="F66">
        <f t="shared" si="0"/>
        <v>4.629999999999999</v>
      </c>
    </row>
    <row r="67" spans="1:6" x14ac:dyDescent="0.25">
      <c r="A67">
        <v>60</v>
      </c>
      <c r="B67">
        <f t="shared" si="1"/>
        <v>0.28999999999999998</v>
      </c>
      <c r="C67">
        <f t="shared" si="2"/>
        <v>9.3000000000000007</v>
      </c>
      <c r="D67">
        <f t="shared" si="3"/>
        <v>91.000000000000043</v>
      </c>
      <c r="E67">
        <f t="shared" si="4"/>
        <v>2.81</v>
      </c>
      <c r="F67">
        <f t="shared" si="0"/>
        <v>4.2299999999999995</v>
      </c>
    </row>
    <row r="68" spans="1:6" x14ac:dyDescent="0.25">
      <c r="A68">
        <v>61</v>
      </c>
      <c r="B68">
        <f t="shared" ref="B68:B81" si="6">ROUND($B$2*POWER(2,-A68/17),2)</f>
        <v>0.27</v>
      </c>
      <c r="C68">
        <f t="shared" ref="C68:C81" si="7">ROUND($B$3+$B$5*POWER(2,-A68/12),1)</f>
        <v>9.1</v>
      </c>
      <c r="D68">
        <f t="shared" ref="D68:D81" si="8">D67+B68+$D$2</f>
        <v>91.520000000000039</v>
      </c>
      <c r="E68">
        <f t="shared" ref="E68:E81" si="9">IF(C68 &gt; $D$3, 0, IF(E67+B68+$D$2 &gt; $D$5, B68+$D$2, E67+B68+$D$2))</f>
        <v>3.33</v>
      </c>
      <c r="F68">
        <f t="shared" ref="F68:F81" si="10">IF(C68 &gt; $D$4, 0, F69+B68+$G$2)</f>
        <v>3.8400000000000003</v>
      </c>
    </row>
    <row r="69" spans="1:6" x14ac:dyDescent="0.25">
      <c r="A69">
        <v>62</v>
      </c>
      <c r="B69">
        <f t="shared" si="6"/>
        <v>0.26</v>
      </c>
      <c r="C69">
        <f t="shared" si="7"/>
        <v>8.9</v>
      </c>
      <c r="D69">
        <f t="shared" si="8"/>
        <v>92.030000000000044</v>
      </c>
      <c r="E69">
        <f t="shared" si="9"/>
        <v>3.84</v>
      </c>
      <c r="F69">
        <f t="shared" si="10"/>
        <v>3.47</v>
      </c>
    </row>
    <row r="70" spans="1:6" x14ac:dyDescent="0.25">
      <c r="A70">
        <v>63</v>
      </c>
      <c r="B70">
        <f t="shared" si="6"/>
        <v>0.25</v>
      </c>
      <c r="C70">
        <f t="shared" si="7"/>
        <v>8.6999999999999993</v>
      </c>
      <c r="D70">
        <f t="shared" si="8"/>
        <v>92.530000000000044</v>
      </c>
      <c r="E70">
        <f t="shared" si="9"/>
        <v>4.34</v>
      </c>
      <c r="F70">
        <f t="shared" si="10"/>
        <v>3.1100000000000003</v>
      </c>
    </row>
    <row r="71" spans="1:6" x14ac:dyDescent="0.25">
      <c r="A71">
        <v>64</v>
      </c>
      <c r="B71">
        <f t="shared" si="6"/>
        <v>0.24</v>
      </c>
      <c r="C71">
        <f t="shared" si="7"/>
        <v>8.6</v>
      </c>
      <c r="D71">
        <f t="shared" si="8"/>
        <v>93.020000000000039</v>
      </c>
      <c r="E71">
        <f t="shared" si="9"/>
        <v>4.83</v>
      </c>
      <c r="F71">
        <f t="shared" si="10"/>
        <v>2.7600000000000002</v>
      </c>
    </row>
    <row r="72" spans="1:6" x14ac:dyDescent="0.25">
      <c r="A72">
        <v>65</v>
      </c>
      <c r="B72">
        <f t="shared" si="6"/>
        <v>0.23</v>
      </c>
      <c r="C72">
        <f t="shared" si="7"/>
        <v>8.4</v>
      </c>
      <c r="D72">
        <f t="shared" si="8"/>
        <v>93.500000000000043</v>
      </c>
      <c r="E72">
        <f t="shared" si="9"/>
        <v>5.3100000000000005</v>
      </c>
      <c r="F72">
        <f t="shared" si="10"/>
        <v>2.4200000000000004</v>
      </c>
    </row>
    <row r="73" spans="1:6" x14ac:dyDescent="0.25">
      <c r="A73">
        <v>66</v>
      </c>
      <c r="B73">
        <f t="shared" si="6"/>
        <v>0.22</v>
      </c>
      <c r="C73">
        <f t="shared" si="7"/>
        <v>8.3000000000000007</v>
      </c>
      <c r="D73">
        <f t="shared" si="8"/>
        <v>93.970000000000041</v>
      </c>
      <c r="E73">
        <f t="shared" si="9"/>
        <v>5.78</v>
      </c>
      <c r="F73">
        <f t="shared" si="10"/>
        <v>2.0900000000000003</v>
      </c>
    </row>
    <row r="74" spans="1:6" x14ac:dyDescent="0.25">
      <c r="A74">
        <v>67</v>
      </c>
      <c r="B74">
        <f t="shared" si="6"/>
        <v>0.21</v>
      </c>
      <c r="C74">
        <f t="shared" si="7"/>
        <v>8.1999999999999993</v>
      </c>
      <c r="D74">
        <f t="shared" si="8"/>
        <v>94.430000000000035</v>
      </c>
      <c r="E74">
        <f t="shared" si="9"/>
        <v>6.24</v>
      </c>
      <c r="F74">
        <f t="shared" si="10"/>
        <v>1.7700000000000002</v>
      </c>
    </row>
    <row r="75" spans="1:6" x14ac:dyDescent="0.25">
      <c r="A75">
        <v>68</v>
      </c>
      <c r="B75">
        <f t="shared" si="6"/>
        <v>0.21</v>
      </c>
      <c r="C75">
        <f t="shared" si="7"/>
        <v>8</v>
      </c>
      <c r="D75">
        <f t="shared" si="8"/>
        <v>94.890000000000029</v>
      </c>
      <c r="E75">
        <f t="shared" si="9"/>
        <v>6.7</v>
      </c>
      <c r="F75">
        <f t="shared" si="10"/>
        <v>1.4600000000000002</v>
      </c>
    </row>
    <row r="76" spans="1:6" x14ac:dyDescent="0.25">
      <c r="A76">
        <v>69</v>
      </c>
      <c r="B76">
        <f t="shared" si="6"/>
        <v>0.2</v>
      </c>
      <c r="C76">
        <f t="shared" si="7"/>
        <v>7.9</v>
      </c>
      <c r="D76">
        <f t="shared" si="8"/>
        <v>95.340000000000032</v>
      </c>
      <c r="E76">
        <f t="shared" si="9"/>
        <v>7.15</v>
      </c>
      <c r="F76">
        <f t="shared" si="10"/>
        <v>1.1500000000000001</v>
      </c>
    </row>
    <row r="77" spans="1:6" x14ac:dyDescent="0.25">
      <c r="A77">
        <v>70</v>
      </c>
      <c r="B77">
        <f t="shared" si="6"/>
        <v>0.19</v>
      </c>
      <c r="C77">
        <f t="shared" si="7"/>
        <v>7.8</v>
      </c>
      <c r="D77">
        <f t="shared" si="8"/>
        <v>95.78000000000003</v>
      </c>
      <c r="E77">
        <f t="shared" si="9"/>
        <v>7.5900000000000007</v>
      </c>
      <c r="F77">
        <f t="shared" si="10"/>
        <v>0.85</v>
      </c>
    </row>
    <row r="78" spans="1:6" x14ac:dyDescent="0.25">
      <c r="A78">
        <v>71</v>
      </c>
      <c r="B78">
        <f t="shared" si="6"/>
        <v>0.18</v>
      </c>
      <c r="C78">
        <f t="shared" si="7"/>
        <v>7.7</v>
      </c>
      <c r="D78">
        <f t="shared" si="8"/>
        <v>96.210000000000036</v>
      </c>
      <c r="E78">
        <f t="shared" si="9"/>
        <v>8.02</v>
      </c>
      <c r="F78">
        <f t="shared" si="10"/>
        <v>0.56000000000000005</v>
      </c>
    </row>
    <row r="79" spans="1:6" x14ac:dyDescent="0.25">
      <c r="A79">
        <v>72</v>
      </c>
      <c r="B79">
        <f t="shared" si="6"/>
        <v>0.18</v>
      </c>
      <c r="C79">
        <f t="shared" si="7"/>
        <v>7.6</v>
      </c>
      <c r="D79">
        <f t="shared" si="8"/>
        <v>96.640000000000043</v>
      </c>
      <c r="E79">
        <f t="shared" si="9"/>
        <v>8.4499999999999993</v>
      </c>
      <c r="F79">
        <f t="shared" si="10"/>
        <v>0.28000000000000003</v>
      </c>
    </row>
  </sheetData>
  <conditionalFormatting sqref="E7:E81">
    <cfRule type="cellIs" dxfId="5" priority="1" operator="lessThan">
      <formula>6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44849-7F11-40D1-A2A1-9BA95E79D3B9}">
  <dimension ref="A2:S38"/>
  <sheetViews>
    <sheetView workbookViewId="0">
      <selection activeCell="K15" sqref="K15"/>
    </sheetView>
  </sheetViews>
  <sheetFormatPr defaultRowHeight="15" x14ac:dyDescent="0.25"/>
  <cols>
    <col min="1" max="1" width="15.28515625" customWidth="1"/>
  </cols>
  <sheetData>
    <row r="2" spans="1:19" x14ac:dyDescent="0.25">
      <c r="A2" t="s">
        <v>3</v>
      </c>
      <c r="B2">
        <v>6.25</v>
      </c>
      <c r="C2" t="s">
        <v>7</v>
      </c>
      <c r="D2">
        <v>0.25</v>
      </c>
      <c r="G2">
        <v>0.1</v>
      </c>
    </row>
    <row r="3" spans="1:19" x14ac:dyDescent="0.25">
      <c r="A3" t="s">
        <v>0</v>
      </c>
      <c r="B3">
        <v>6</v>
      </c>
      <c r="C3" t="s">
        <v>9</v>
      </c>
      <c r="D3">
        <v>120</v>
      </c>
    </row>
    <row r="4" spans="1:19" x14ac:dyDescent="0.25">
      <c r="A4" t="s">
        <v>1</v>
      </c>
      <c r="B4">
        <v>110</v>
      </c>
      <c r="C4" t="s">
        <v>11</v>
      </c>
      <c r="D4">
        <v>18</v>
      </c>
    </row>
    <row r="5" spans="1:19" x14ac:dyDescent="0.25">
      <c r="A5" t="s">
        <v>5</v>
      </c>
      <c r="B5">
        <f>B4-B3</f>
        <v>104</v>
      </c>
      <c r="C5" t="s">
        <v>12</v>
      </c>
      <c r="D5">
        <v>23</v>
      </c>
    </row>
    <row r="6" spans="1:19" x14ac:dyDescent="0.25">
      <c r="A6" t="s">
        <v>2</v>
      </c>
      <c r="B6" t="s">
        <v>4</v>
      </c>
      <c r="C6" t="s">
        <v>6</v>
      </c>
      <c r="D6" t="s">
        <v>8</v>
      </c>
      <c r="F6" t="s">
        <v>10</v>
      </c>
      <c r="G6" t="s">
        <v>13</v>
      </c>
    </row>
    <row r="7" spans="1:19" x14ac:dyDescent="0.25">
      <c r="A7">
        <v>0</v>
      </c>
      <c r="B7">
        <f>ROUND($B$2*POWER(2,-A7/17),2)</f>
        <v>6.25</v>
      </c>
      <c r="C7">
        <f>ROUND($B$3+$B$5*POWER(2,-A7/12),1)</f>
        <v>110</v>
      </c>
      <c r="D7">
        <f>B7+$D$2</f>
        <v>6.5</v>
      </c>
      <c r="E7">
        <f>IF(C7 &gt; $D$3, 0, B7+$D$2)</f>
        <v>6.5</v>
      </c>
      <c r="F7">
        <f t="shared" ref="F7:F67" si="0">IF(C7 &gt; $D$4, 0, F8+B7+$G$2)</f>
        <v>0</v>
      </c>
    </row>
    <row r="8" spans="1:19" x14ac:dyDescent="0.25">
      <c r="A8">
        <v>1</v>
      </c>
      <c r="B8">
        <f t="shared" ref="B8:B68" si="1">ROUND($B$2*POWER(2,-A8/17),2)</f>
        <v>6</v>
      </c>
      <c r="C8">
        <f t="shared" ref="C8:C68" si="2">ROUND($B$3+$B$5*POWER(2,-A8/12),1)</f>
        <v>104.2</v>
      </c>
      <c r="D8">
        <f>D7+B8+$D$2</f>
        <v>12.75</v>
      </c>
      <c r="E8">
        <f>IF(C8 &gt; $D$3, 0, IF(E7+B8+$D$2 &gt; $D$5, B8+$D$2, E7+B8+$D$2))</f>
        <v>12.75</v>
      </c>
      <c r="F8">
        <f t="shared" si="0"/>
        <v>0</v>
      </c>
      <c r="G8">
        <f>C8+C7</f>
        <v>214.2</v>
      </c>
      <c r="K8" t="s">
        <v>14</v>
      </c>
      <c r="L8" t="s">
        <v>20</v>
      </c>
      <c r="M8" t="s">
        <v>16</v>
      </c>
      <c r="N8" t="s">
        <v>17</v>
      </c>
      <c r="O8" t="s">
        <v>18</v>
      </c>
      <c r="P8" t="s">
        <v>19</v>
      </c>
      <c r="Q8" t="s">
        <v>21</v>
      </c>
    </row>
    <row r="9" spans="1:19" x14ac:dyDescent="0.25">
      <c r="A9">
        <v>2</v>
      </c>
      <c r="B9">
        <f t="shared" si="1"/>
        <v>5.76</v>
      </c>
      <c r="C9">
        <f t="shared" si="2"/>
        <v>98.7</v>
      </c>
      <c r="D9">
        <f t="shared" ref="D9:D50" si="3">D8+B9+$D$2</f>
        <v>18.759999999999998</v>
      </c>
      <c r="E9">
        <f t="shared" ref="E9:E50" si="4">IF(C9 &gt; $D$3, 0, IF(E8+B9+$D$2 &gt; $D$5, B9+$D$2, E8+B9+$D$2))</f>
        <v>18.759999999999998</v>
      </c>
      <c r="F9">
        <f t="shared" si="0"/>
        <v>0</v>
      </c>
      <c r="G9">
        <f t="shared" ref="G9:G44" si="5">C9+C8</f>
        <v>202.9</v>
      </c>
      <c r="K9" s="1" t="s">
        <v>29</v>
      </c>
      <c r="L9" s="1">
        <v>18.760000000000002</v>
      </c>
      <c r="M9" s="1">
        <v>110</v>
      </c>
      <c r="N9" s="1">
        <v>98.7</v>
      </c>
      <c r="O9" s="1">
        <v>6.25</v>
      </c>
      <c r="P9" s="1">
        <v>5.76</v>
      </c>
      <c r="Q9" s="1">
        <v>3</v>
      </c>
      <c r="S9" t="s">
        <v>116</v>
      </c>
    </row>
    <row r="10" spans="1:19" x14ac:dyDescent="0.25">
      <c r="A10">
        <v>3</v>
      </c>
      <c r="B10">
        <f t="shared" si="1"/>
        <v>5.53</v>
      </c>
      <c r="C10">
        <f t="shared" si="2"/>
        <v>93.5</v>
      </c>
      <c r="D10">
        <f t="shared" si="3"/>
        <v>24.54</v>
      </c>
      <c r="E10">
        <f t="shared" si="4"/>
        <v>5.78</v>
      </c>
      <c r="F10">
        <f t="shared" si="0"/>
        <v>0</v>
      </c>
      <c r="G10">
        <f t="shared" si="5"/>
        <v>192.2</v>
      </c>
      <c r="K10" s="1" t="s">
        <v>30</v>
      </c>
      <c r="L10" s="1">
        <v>21.83</v>
      </c>
      <c r="M10" s="1">
        <v>93.5</v>
      </c>
      <c r="N10" s="1">
        <v>79.5</v>
      </c>
      <c r="O10" s="1">
        <v>5.53</v>
      </c>
      <c r="P10" s="1">
        <v>4.8899999999999997</v>
      </c>
      <c r="Q10" s="1">
        <v>4</v>
      </c>
    </row>
    <row r="11" spans="1:19" x14ac:dyDescent="0.25">
      <c r="A11">
        <v>4</v>
      </c>
      <c r="B11">
        <f t="shared" si="1"/>
        <v>5.31</v>
      </c>
      <c r="C11">
        <f t="shared" si="2"/>
        <v>88.5</v>
      </c>
      <c r="D11">
        <f t="shared" si="3"/>
        <v>30.099999999999998</v>
      </c>
      <c r="E11">
        <f t="shared" si="4"/>
        <v>11.34</v>
      </c>
      <c r="F11">
        <f t="shared" si="0"/>
        <v>0</v>
      </c>
      <c r="G11">
        <f t="shared" si="5"/>
        <v>182</v>
      </c>
      <c r="K11" s="1" t="s">
        <v>31</v>
      </c>
      <c r="L11" s="1">
        <v>22.94</v>
      </c>
      <c r="M11" s="1">
        <v>75.400000000000006</v>
      </c>
      <c r="N11" s="1">
        <v>61.1</v>
      </c>
      <c r="O11" s="1">
        <v>4.7</v>
      </c>
      <c r="P11" s="1">
        <v>3.99</v>
      </c>
      <c r="Q11" s="1">
        <v>5</v>
      </c>
    </row>
    <row r="12" spans="1:19" x14ac:dyDescent="0.25">
      <c r="A12">
        <v>5</v>
      </c>
      <c r="B12">
        <f t="shared" si="1"/>
        <v>5.0999999999999996</v>
      </c>
      <c r="C12">
        <f t="shared" si="2"/>
        <v>83.9</v>
      </c>
      <c r="D12">
        <f t="shared" si="3"/>
        <v>35.449999999999996</v>
      </c>
      <c r="E12">
        <f t="shared" si="4"/>
        <v>16.689999999999998</v>
      </c>
      <c r="F12">
        <f t="shared" si="0"/>
        <v>0</v>
      </c>
      <c r="G12">
        <f t="shared" si="5"/>
        <v>172.4</v>
      </c>
      <c r="K12" s="1" t="s">
        <v>32</v>
      </c>
      <c r="L12" s="1">
        <v>22.32</v>
      </c>
      <c r="M12" s="1">
        <v>58</v>
      </c>
      <c r="N12" s="1">
        <v>45</v>
      </c>
      <c r="O12" s="1">
        <v>3.83</v>
      </c>
      <c r="P12" s="1">
        <v>3.13</v>
      </c>
      <c r="Q12" s="1">
        <v>6</v>
      </c>
    </row>
    <row r="13" spans="1:19" x14ac:dyDescent="0.25">
      <c r="A13">
        <v>6</v>
      </c>
      <c r="B13">
        <f t="shared" si="1"/>
        <v>4.8899999999999997</v>
      </c>
      <c r="C13">
        <f t="shared" si="2"/>
        <v>79.5</v>
      </c>
      <c r="D13">
        <f t="shared" si="3"/>
        <v>40.589999999999996</v>
      </c>
      <c r="E13">
        <f t="shared" si="4"/>
        <v>21.83</v>
      </c>
      <c r="F13">
        <f t="shared" si="0"/>
        <v>0</v>
      </c>
      <c r="G13">
        <f t="shared" si="5"/>
        <v>163.4</v>
      </c>
      <c r="K13" s="1" t="s">
        <v>33</v>
      </c>
      <c r="L13" s="1">
        <v>22.91</v>
      </c>
      <c r="M13" s="1">
        <v>42.8</v>
      </c>
      <c r="N13" s="1">
        <v>30.5</v>
      </c>
      <c r="O13" s="1">
        <v>3</v>
      </c>
      <c r="P13" s="1">
        <v>2.2599999999999998</v>
      </c>
      <c r="Q13" s="1">
        <v>8</v>
      </c>
    </row>
    <row r="14" spans="1:19" x14ac:dyDescent="0.25">
      <c r="A14">
        <v>7</v>
      </c>
      <c r="B14">
        <f t="shared" si="1"/>
        <v>4.7</v>
      </c>
      <c r="C14">
        <f t="shared" si="2"/>
        <v>75.400000000000006</v>
      </c>
      <c r="D14">
        <f t="shared" si="3"/>
        <v>45.54</v>
      </c>
      <c r="E14">
        <f t="shared" si="4"/>
        <v>4.95</v>
      </c>
      <c r="F14">
        <f t="shared" si="0"/>
        <v>0</v>
      </c>
      <c r="G14">
        <f t="shared" si="5"/>
        <v>154.9</v>
      </c>
      <c r="K14" s="2" t="s">
        <v>76</v>
      </c>
      <c r="L14" s="2">
        <v>13.28</v>
      </c>
      <c r="M14" s="2">
        <v>29.2</v>
      </c>
      <c r="N14" s="2">
        <v>23.4</v>
      </c>
      <c r="O14" s="2">
        <v>2.17</v>
      </c>
      <c r="P14" s="2">
        <v>1.84</v>
      </c>
      <c r="Q14" s="2">
        <v>6</v>
      </c>
    </row>
    <row r="15" spans="1:19" x14ac:dyDescent="0.25">
      <c r="A15">
        <v>8</v>
      </c>
      <c r="B15">
        <f t="shared" si="1"/>
        <v>4.51</v>
      </c>
      <c r="C15">
        <f t="shared" si="2"/>
        <v>71.5</v>
      </c>
      <c r="D15">
        <f t="shared" si="3"/>
        <v>50.3</v>
      </c>
      <c r="E15">
        <f t="shared" si="4"/>
        <v>9.7100000000000009</v>
      </c>
      <c r="F15">
        <f t="shared" si="0"/>
        <v>0</v>
      </c>
      <c r="G15">
        <f t="shared" si="5"/>
        <v>146.9</v>
      </c>
    </row>
    <row r="16" spans="1:19" x14ac:dyDescent="0.25">
      <c r="A16">
        <v>9</v>
      </c>
      <c r="B16">
        <f t="shared" si="1"/>
        <v>4.33</v>
      </c>
      <c r="C16">
        <f t="shared" si="2"/>
        <v>67.8</v>
      </c>
      <c r="D16">
        <f t="shared" si="3"/>
        <v>54.879999999999995</v>
      </c>
      <c r="E16">
        <f t="shared" si="4"/>
        <v>14.290000000000001</v>
      </c>
      <c r="F16">
        <f t="shared" si="0"/>
        <v>0</v>
      </c>
      <c r="G16">
        <f t="shared" si="5"/>
        <v>139.30000000000001</v>
      </c>
      <c r="L16">
        <f>SUM(L9:L14)</f>
        <v>122.03999999999999</v>
      </c>
      <c r="Q16">
        <f>SUM(Q9:Q14)</f>
        <v>32</v>
      </c>
    </row>
    <row r="17" spans="1:7" x14ac:dyDescent="0.25">
      <c r="A17">
        <v>10</v>
      </c>
      <c r="B17">
        <f t="shared" si="1"/>
        <v>4.16</v>
      </c>
      <c r="C17">
        <f t="shared" si="2"/>
        <v>64.400000000000006</v>
      </c>
      <c r="D17">
        <f t="shared" si="3"/>
        <v>59.289999999999992</v>
      </c>
      <c r="E17">
        <f t="shared" si="4"/>
        <v>18.700000000000003</v>
      </c>
      <c r="F17">
        <f t="shared" si="0"/>
        <v>0</v>
      </c>
      <c r="G17">
        <f t="shared" si="5"/>
        <v>132.19999999999999</v>
      </c>
    </row>
    <row r="18" spans="1:7" x14ac:dyDescent="0.25">
      <c r="A18">
        <v>11</v>
      </c>
      <c r="B18">
        <f t="shared" si="1"/>
        <v>3.99</v>
      </c>
      <c r="C18">
        <f t="shared" si="2"/>
        <v>61.1</v>
      </c>
      <c r="D18">
        <f t="shared" si="3"/>
        <v>63.529999999999994</v>
      </c>
      <c r="E18">
        <f t="shared" si="4"/>
        <v>22.940000000000005</v>
      </c>
      <c r="F18">
        <f t="shared" si="0"/>
        <v>0</v>
      </c>
      <c r="G18">
        <f t="shared" si="5"/>
        <v>125.5</v>
      </c>
    </row>
    <row r="19" spans="1:7" x14ac:dyDescent="0.25">
      <c r="A19">
        <v>12</v>
      </c>
      <c r="B19">
        <f t="shared" si="1"/>
        <v>3.83</v>
      </c>
      <c r="C19">
        <f t="shared" si="2"/>
        <v>58</v>
      </c>
      <c r="D19">
        <f t="shared" si="3"/>
        <v>67.61</v>
      </c>
      <c r="E19">
        <f t="shared" si="4"/>
        <v>4.08</v>
      </c>
      <c r="F19">
        <f t="shared" si="0"/>
        <v>0</v>
      </c>
      <c r="G19">
        <f t="shared" si="5"/>
        <v>119.1</v>
      </c>
    </row>
    <row r="20" spans="1:7" x14ac:dyDescent="0.25">
      <c r="A20">
        <v>13</v>
      </c>
      <c r="B20">
        <f t="shared" si="1"/>
        <v>3.68</v>
      </c>
      <c r="C20">
        <f t="shared" si="2"/>
        <v>55.1</v>
      </c>
      <c r="D20">
        <f t="shared" si="3"/>
        <v>71.540000000000006</v>
      </c>
      <c r="E20">
        <f t="shared" si="4"/>
        <v>8.01</v>
      </c>
      <c r="F20">
        <f t="shared" si="0"/>
        <v>0</v>
      </c>
      <c r="G20">
        <f t="shared" si="5"/>
        <v>113.1</v>
      </c>
    </row>
    <row r="21" spans="1:7" x14ac:dyDescent="0.25">
      <c r="A21">
        <v>14</v>
      </c>
      <c r="B21">
        <f t="shared" si="1"/>
        <v>3.53</v>
      </c>
      <c r="C21">
        <f t="shared" si="2"/>
        <v>52.3</v>
      </c>
      <c r="D21">
        <f t="shared" si="3"/>
        <v>75.320000000000007</v>
      </c>
      <c r="E21">
        <f t="shared" si="4"/>
        <v>11.79</v>
      </c>
      <c r="F21">
        <f t="shared" si="0"/>
        <v>0</v>
      </c>
      <c r="G21">
        <f t="shared" si="5"/>
        <v>107.4</v>
      </c>
    </row>
    <row r="22" spans="1:7" x14ac:dyDescent="0.25">
      <c r="A22">
        <v>15</v>
      </c>
      <c r="B22">
        <f t="shared" si="1"/>
        <v>3.39</v>
      </c>
      <c r="C22">
        <f t="shared" si="2"/>
        <v>49.7</v>
      </c>
      <c r="D22">
        <f t="shared" si="3"/>
        <v>78.960000000000008</v>
      </c>
      <c r="E22">
        <f t="shared" si="4"/>
        <v>15.43</v>
      </c>
      <c r="F22">
        <f t="shared" si="0"/>
        <v>0</v>
      </c>
      <c r="G22">
        <f t="shared" si="5"/>
        <v>102</v>
      </c>
    </row>
    <row r="23" spans="1:7" x14ac:dyDescent="0.25">
      <c r="A23">
        <v>16</v>
      </c>
      <c r="B23">
        <f t="shared" si="1"/>
        <v>3.26</v>
      </c>
      <c r="C23">
        <f t="shared" si="2"/>
        <v>47.3</v>
      </c>
      <c r="D23">
        <f t="shared" si="3"/>
        <v>82.470000000000013</v>
      </c>
      <c r="E23">
        <f t="shared" si="4"/>
        <v>18.939999999999998</v>
      </c>
      <c r="F23">
        <f t="shared" si="0"/>
        <v>0</v>
      </c>
      <c r="G23">
        <f t="shared" si="5"/>
        <v>97</v>
      </c>
    </row>
    <row r="24" spans="1:7" x14ac:dyDescent="0.25">
      <c r="A24">
        <v>17</v>
      </c>
      <c r="B24">
        <f t="shared" si="1"/>
        <v>3.13</v>
      </c>
      <c r="C24">
        <f t="shared" si="2"/>
        <v>45</v>
      </c>
      <c r="D24">
        <f t="shared" si="3"/>
        <v>85.850000000000009</v>
      </c>
      <c r="E24">
        <f t="shared" si="4"/>
        <v>22.319999999999997</v>
      </c>
      <c r="F24">
        <f t="shared" si="0"/>
        <v>0</v>
      </c>
      <c r="G24">
        <f t="shared" si="5"/>
        <v>92.3</v>
      </c>
    </row>
    <row r="25" spans="1:7" x14ac:dyDescent="0.25">
      <c r="A25">
        <v>18</v>
      </c>
      <c r="B25">
        <f t="shared" si="1"/>
        <v>3</v>
      </c>
      <c r="C25">
        <f t="shared" si="2"/>
        <v>42.8</v>
      </c>
      <c r="D25">
        <f t="shared" si="3"/>
        <v>89.100000000000009</v>
      </c>
      <c r="E25">
        <f t="shared" si="4"/>
        <v>3.25</v>
      </c>
      <c r="F25">
        <f t="shared" si="0"/>
        <v>0</v>
      </c>
      <c r="G25">
        <f t="shared" si="5"/>
        <v>87.8</v>
      </c>
    </row>
    <row r="26" spans="1:7" x14ac:dyDescent="0.25">
      <c r="A26">
        <v>19</v>
      </c>
      <c r="B26">
        <f t="shared" si="1"/>
        <v>2.88</v>
      </c>
      <c r="C26">
        <f t="shared" si="2"/>
        <v>40.700000000000003</v>
      </c>
      <c r="D26">
        <f t="shared" si="3"/>
        <v>92.23</v>
      </c>
      <c r="E26">
        <f t="shared" si="4"/>
        <v>6.38</v>
      </c>
      <c r="F26">
        <f t="shared" si="0"/>
        <v>0</v>
      </c>
      <c r="G26">
        <f t="shared" si="5"/>
        <v>83.5</v>
      </c>
    </row>
    <row r="27" spans="1:7" x14ac:dyDescent="0.25">
      <c r="A27">
        <v>20</v>
      </c>
      <c r="B27">
        <f t="shared" si="1"/>
        <v>2.77</v>
      </c>
      <c r="C27">
        <f t="shared" si="2"/>
        <v>38.799999999999997</v>
      </c>
      <c r="D27">
        <f t="shared" si="3"/>
        <v>95.25</v>
      </c>
      <c r="E27">
        <f t="shared" si="4"/>
        <v>9.4</v>
      </c>
      <c r="F27">
        <f t="shared" si="0"/>
        <v>0</v>
      </c>
      <c r="G27">
        <f t="shared" si="5"/>
        <v>79.5</v>
      </c>
    </row>
    <row r="28" spans="1:7" x14ac:dyDescent="0.25">
      <c r="A28">
        <v>21</v>
      </c>
      <c r="B28">
        <f t="shared" si="1"/>
        <v>2.65</v>
      </c>
      <c r="C28">
        <f t="shared" si="2"/>
        <v>36.9</v>
      </c>
      <c r="D28">
        <f t="shared" si="3"/>
        <v>98.15</v>
      </c>
      <c r="E28">
        <f t="shared" si="4"/>
        <v>12.3</v>
      </c>
      <c r="F28">
        <f t="shared" si="0"/>
        <v>0</v>
      </c>
      <c r="G28">
        <f t="shared" si="5"/>
        <v>75.699999999999989</v>
      </c>
    </row>
    <row r="29" spans="1:7" x14ac:dyDescent="0.25">
      <c r="A29">
        <v>22</v>
      </c>
      <c r="B29">
        <f t="shared" si="1"/>
        <v>2.5499999999999998</v>
      </c>
      <c r="C29">
        <f t="shared" si="2"/>
        <v>35.200000000000003</v>
      </c>
      <c r="D29">
        <f t="shared" si="3"/>
        <v>100.95</v>
      </c>
      <c r="E29">
        <f t="shared" si="4"/>
        <v>15.100000000000001</v>
      </c>
      <c r="F29">
        <f t="shared" si="0"/>
        <v>0</v>
      </c>
      <c r="G29">
        <f t="shared" si="5"/>
        <v>72.099999999999994</v>
      </c>
    </row>
    <row r="30" spans="1:7" x14ac:dyDescent="0.25">
      <c r="A30">
        <v>23</v>
      </c>
      <c r="B30">
        <f t="shared" si="1"/>
        <v>2.4500000000000002</v>
      </c>
      <c r="C30">
        <f t="shared" si="2"/>
        <v>33.5</v>
      </c>
      <c r="D30">
        <f t="shared" si="3"/>
        <v>103.65</v>
      </c>
      <c r="E30">
        <f t="shared" si="4"/>
        <v>17.8</v>
      </c>
      <c r="F30">
        <f t="shared" si="0"/>
        <v>0</v>
      </c>
      <c r="G30">
        <f t="shared" si="5"/>
        <v>68.7</v>
      </c>
    </row>
    <row r="31" spans="1:7" x14ac:dyDescent="0.25">
      <c r="A31">
        <v>24</v>
      </c>
      <c r="B31">
        <f t="shared" si="1"/>
        <v>2.35</v>
      </c>
      <c r="C31">
        <f t="shared" si="2"/>
        <v>32</v>
      </c>
      <c r="D31">
        <f t="shared" si="3"/>
        <v>106.25</v>
      </c>
      <c r="E31">
        <f t="shared" si="4"/>
        <v>20.400000000000002</v>
      </c>
      <c r="F31">
        <f t="shared" si="0"/>
        <v>0</v>
      </c>
      <c r="G31">
        <f t="shared" si="5"/>
        <v>65.5</v>
      </c>
    </row>
    <row r="32" spans="1:7" x14ac:dyDescent="0.25">
      <c r="A32">
        <v>25</v>
      </c>
      <c r="B32">
        <f t="shared" si="1"/>
        <v>2.2599999999999998</v>
      </c>
      <c r="C32">
        <f t="shared" si="2"/>
        <v>30.5</v>
      </c>
      <c r="D32">
        <f t="shared" si="3"/>
        <v>108.76</v>
      </c>
      <c r="E32">
        <f t="shared" si="4"/>
        <v>22.910000000000004</v>
      </c>
      <c r="F32">
        <f t="shared" si="0"/>
        <v>0</v>
      </c>
      <c r="G32">
        <f t="shared" si="5"/>
        <v>62.5</v>
      </c>
    </row>
    <row r="33" spans="1:7" x14ac:dyDescent="0.25">
      <c r="A33">
        <v>26</v>
      </c>
      <c r="B33">
        <f t="shared" si="1"/>
        <v>2.17</v>
      </c>
      <c r="C33">
        <f t="shared" si="2"/>
        <v>29.2</v>
      </c>
      <c r="D33">
        <f t="shared" si="3"/>
        <v>111.18</v>
      </c>
      <c r="E33">
        <f t="shared" si="4"/>
        <v>2.42</v>
      </c>
      <c r="F33">
        <f t="shared" si="0"/>
        <v>0</v>
      </c>
      <c r="G33">
        <f t="shared" si="5"/>
        <v>59.7</v>
      </c>
    </row>
    <row r="34" spans="1:7" x14ac:dyDescent="0.25">
      <c r="A34">
        <v>27</v>
      </c>
      <c r="B34">
        <f t="shared" si="1"/>
        <v>2.08</v>
      </c>
      <c r="C34">
        <f t="shared" si="2"/>
        <v>27.9</v>
      </c>
      <c r="D34">
        <f t="shared" si="3"/>
        <v>113.51</v>
      </c>
      <c r="E34">
        <f t="shared" si="4"/>
        <v>4.75</v>
      </c>
      <c r="F34">
        <f t="shared" si="0"/>
        <v>0</v>
      </c>
      <c r="G34">
        <f t="shared" si="5"/>
        <v>57.099999999999994</v>
      </c>
    </row>
    <row r="35" spans="1:7" x14ac:dyDescent="0.25">
      <c r="A35">
        <v>28</v>
      </c>
      <c r="B35">
        <f t="shared" si="1"/>
        <v>2</v>
      </c>
      <c r="C35">
        <f t="shared" si="2"/>
        <v>26.6</v>
      </c>
      <c r="D35">
        <f t="shared" si="3"/>
        <v>115.76</v>
      </c>
      <c r="E35">
        <f t="shared" si="4"/>
        <v>7</v>
      </c>
      <c r="F35">
        <f t="shared" si="0"/>
        <v>0</v>
      </c>
      <c r="G35">
        <f t="shared" si="5"/>
        <v>54.5</v>
      </c>
    </row>
    <row r="36" spans="1:7" x14ac:dyDescent="0.25">
      <c r="A36">
        <v>29</v>
      </c>
      <c r="B36">
        <f t="shared" si="1"/>
        <v>1.92</v>
      </c>
      <c r="C36">
        <f t="shared" si="2"/>
        <v>25.5</v>
      </c>
      <c r="D36">
        <f t="shared" si="3"/>
        <v>117.93</v>
      </c>
      <c r="E36">
        <f t="shared" si="4"/>
        <v>9.17</v>
      </c>
      <c r="F36">
        <f t="shared" si="0"/>
        <v>0</v>
      </c>
      <c r="G36">
        <f t="shared" si="5"/>
        <v>52.1</v>
      </c>
    </row>
    <row r="37" spans="1:7" x14ac:dyDescent="0.25">
      <c r="A37">
        <v>30</v>
      </c>
      <c r="B37">
        <f t="shared" si="1"/>
        <v>1.84</v>
      </c>
      <c r="C37">
        <f t="shared" si="2"/>
        <v>24.4</v>
      </c>
      <c r="D37">
        <f t="shared" si="3"/>
        <v>120.02000000000001</v>
      </c>
      <c r="E37">
        <f t="shared" si="4"/>
        <v>11.26</v>
      </c>
      <c r="F37">
        <f t="shared" si="0"/>
        <v>0</v>
      </c>
      <c r="G37">
        <f t="shared" si="5"/>
        <v>49.9</v>
      </c>
    </row>
    <row r="38" spans="1:7" x14ac:dyDescent="0.25">
      <c r="A38">
        <v>31</v>
      </c>
      <c r="B38">
        <f t="shared" si="1"/>
        <v>1.77</v>
      </c>
      <c r="C38">
        <f t="shared" si="2"/>
        <v>23.4</v>
      </c>
      <c r="D38">
        <f t="shared" si="3"/>
        <v>122.04</v>
      </c>
      <c r="E38">
        <f t="shared" si="4"/>
        <v>13.28</v>
      </c>
      <c r="F38">
        <f t="shared" si="0"/>
        <v>0</v>
      </c>
      <c r="G38">
        <f t="shared" si="5"/>
        <v>47.8</v>
      </c>
    </row>
  </sheetData>
  <conditionalFormatting sqref="E7:E68">
    <cfRule type="cellIs" dxfId="0" priority="1" operator="lessThan">
      <formula>6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034A-1549-436A-A1FE-D4BA2AB5F5FB}">
  <dimension ref="A2:S50"/>
  <sheetViews>
    <sheetView topLeftCell="A4" workbookViewId="0">
      <selection activeCell="K14" sqref="K14"/>
    </sheetView>
  </sheetViews>
  <sheetFormatPr defaultRowHeight="15" x14ac:dyDescent="0.25"/>
  <cols>
    <col min="1" max="1" width="15.28515625" customWidth="1"/>
  </cols>
  <sheetData>
    <row r="2" spans="1:19" x14ac:dyDescent="0.25">
      <c r="A2" t="s">
        <v>3</v>
      </c>
      <c r="B2">
        <v>6.25</v>
      </c>
      <c r="C2" t="s">
        <v>7</v>
      </c>
      <c r="D2">
        <v>0.25</v>
      </c>
      <c r="G2">
        <v>0.1</v>
      </c>
    </row>
    <row r="3" spans="1:19" x14ac:dyDescent="0.25">
      <c r="A3" t="s">
        <v>0</v>
      </c>
      <c r="B3">
        <v>6</v>
      </c>
      <c r="C3" t="s">
        <v>9</v>
      </c>
      <c r="D3">
        <v>120</v>
      </c>
    </row>
    <row r="4" spans="1:19" x14ac:dyDescent="0.25">
      <c r="A4" t="s">
        <v>1</v>
      </c>
      <c r="B4">
        <v>110</v>
      </c>
      <c r="C4" t="s">
        <v>11</v>
      </c>
      <c r="D4">
        <v>24</v>
      </c>
    </row>
    <row r="5" spans="1:19" x14ac:dyDescent="0.25">
      <c r="A5" t="s">
        <v>5</v>
      </c>
      <c r="B5">
        <f>B4-B3</f>
        <v>104</v>
      </c>
      <c r="C5" t="s">
        <v>12</v>
      </c>
      <c r="D5">
        <v>23</v>
      </c>
    </row>
    <row r="6" spans="1:19" x14ac:dyDescent="0.25">
      <c r="A6" t="s">
        <v>2</v>
      </c>
      <c r="B6" t="s">
        <v>4</v>
      </c>
      <c r="C6" t="s">
        <v>6</v>
      </c>
      <c r="D6" t="s">
        <v>8</v>
      </c>
      <c r="F6" t="s">
        <v>10</v>
      </c>
      <c r="G6" t="s">
        <v>13</v>
      </c>
    </row>
    <row r="7" spans="1:19" x14ac:dyDescent="0.25">
      <c r="A7">
        <v>0</v>
      </c>
      <c r="B7">
        <f>ROUND($B$2*POWER(2,-A7/17),2)</f>
        <v>6.25</v>
      </c>
      <c r="C7">
        <f>ROUND($B$3+$B$5*POWER(2,-A7/12),1)</f>
        <v>110</v>
      </c>
      <c r="D7">
        <f>B7+$D$2</f>
        <v>6.5</v>
      </c>
      <c r="E7">
        <f>IF(C7 &gt; $D$3, 0, B7+$D$2)</f>
        <v>6.5</v>
      </c>
      <c r="F7">
        <f t="shared" ref="F7:F67" si="0">IF(C7 &gt; $D$4, 0, F8+B7+$G$2)</f>
        <v>0</v>
      </c>
    </row>
    <row r="8" spans="1:19" x14ac:dyDescent="0.25">
      <c r="A8">
        <v>1</v>
      </c>
      <c r="B8">
        <f t="shared" ref="B8:B68" si="1">ROUND($B$2*POWER(2,-A8/17),2)</f>
        <v>6</v>
      </c>
      <c r="C8">
        <f t="shared" ref="C8:C68" si="2">ROUND($B$3+$B$5*POWER(2,-A8/12),1)</f>
        <v>104.2</v>
      </c>
      <c r="D8">
        <f>D7+B8+$D$2</f>
        <v>12.75</v>
      </c>
      <c r="E8">
        <f>IF(C8 &gt; $D$3, 0, IF(E7+B8+$D$2 &gt; $D$5, B8+$D$2, E7+B8+$D$2))</f>
        <v>12.75</v>
      </c>
      <c r="F8">
        <f t="shared" si="0"/>
        <v>0</v>
      </c>
      <c r="G8">
        <f>C8+C7</f>
        <v>214.2</v>
      </c>
      <c r="K8" t="s">
        <v>14</v>
      </c>
      <c r="L8" t="s">
        <v>20</v>
      </c>
      <c r="M8" t="s">
        <v>16</v>
      </c>
      <c r="N8" t="s">
        <v>17</v>
      </c>
      <c r="O8" t="s">
        <v>18</v>
      </c>
      <c r="P8" t="s">
        <v>19</v>
      </c>
      <c r="Q8" t="s">
        <v>21</v>
      </c>
    </row>
    <row r="9" spans="1:19" x14ac:dyDescent="0.25">
      <c r="A9">
        <v>2</v>
      </c>
      <c r="B9">
        <f t="shared" si="1"/>
        <v>5.76</v>
      </c>
      <c r="C9">
        <f t="shared" si="2"/>
        <v>98.7</v>
      </c>
      <c r="D9">
        <f t="shared" ref="D9:D68" si="3">D8+B9+$D$2</f>
        <v>18.759999999999998</v>
      </c>
      <c r="E9">
        <f t="shared" ref="E9:E68" si="4">IF(C9 &gt; $D$3, 0, IF(E8+B9+$D$2 &gt; $D$5, B9+$D$2, E8+B9+$D$2))</f>
        <v>18.759999999999998</v>
      </c>
      <c r="F9">
        <f t="shared" si="0"/>
        <v>0</v>
      </c>
      <c r="G9">
        <f t="shared" ref="G9:G44" si="5">C9+C8</f>
        <v>202.9</v>
      </c>
      <c r="K9" s="1" t="s">
        <v>29</v>
      </c>
      <c r="L9" s="1">
        <v>18.760000000000002</v>
      </c>
      <c r="M9" s="1">
        <v>110</v>
      </c>
      <c r="N9" s="1">
        <v>98.7</v>
      </c>
      <c r="O9" s="1">
        <v>6.25</v>
      </c>
      <c r="P9" s="1">
        <v>5.76</v>
      </c>
      <c r="Q9" s="1">
        <v>3</v>
      </c>
    </row>
    <row r="10" spans="1:19" x14ac:dyDescent="0.25">
      <c r="A10">
        <v>3</v>
      </c>
      <c r="B10">
        <f t="shared" si="1"/>
        <v>5.53</v>
      </c>
      <c r="C10">
        <f t="shared" si="2"/>
        <v>93.5</v>
      </c>
      <c r="D10">
        <f t="shared" si="3"/>
        <v>24.54</v>
      </c>
      <c r="E10">
        <f t="shared" si="4"/>
        <v>5.78</v>
      </c>
      <c r="F10">
        <f t="shared" si="0"/>
        <v>0</v>
      </c>
      <c r="G10">
        <f t="shared" si="5"/>
        <v>192.2</v>
      </c>
      <c r="K10" s="1" t="s">
        <v>30</v>
      </c>
      <c r="L10" s="1">
        <v>21.83</v>
      </c>
      <c r="M10" s="1">
        <v>93.5</v>
      </c>
      <c r="N10" s="1">
        <v>79.5</v>
      </c>
      <c r="O10" s="1">
        <v>5.53</v>
      </c>
      <c r="P10" s="1">
        <v>4.8899999999999997</v>
      </c>
      <c r="Q10" s="1">
        <v>4</v>
      </c>
      <c r="S10" t="s">
        <v>119</v>
      </c>
    </row>
    <row r="11" spans="1:19" x14ac:dyDescent="0.25">
      <c r="A11">
        <v>4</v>
      </c>
      <c r="B11">
        <f t="shared" si="1"/>
        <v>5.31</v>
      </c>
      <c r="C11">
        <f t="shared" si="2"/>
        <v>88.5</v>
      </c>
      <c r="D11">
        <f t="shared" si="3"/>
        <v>30.099999999999998</v>
      </c>
      <c r="E11">
        <f t="shared" si="4"/>
        <v>11.34</v>
      </c>
      <c r="F11">
        <f t="shared" si="0"/>
        <v>0</v>
      </c>
      <c r="G11">
        <f t="shared" si="5"/>
        <v>182</v>
      </c>
      <c r="K11" s="1" t="s">
        <v>31</v>
      </c>
      <c r="L11" s="1">
        <v>22.94</v>
      </c>
      <c r="M11" s="1">
        <v>75.400000000000006</v>
      </c>
      <c r="N11" s="1">
        <v>61.1</v>
      </c>
      <c r="O11" s="1">
        <v>4.7</v>
      </c>
      <c r="P11" s="1">
        <v>3.99</v>
      </c>
      <c r="Q11" s="1">
        <v>5</v>
      </c>
    </row>
    <row r="12" spans="1:19" x14ac:dyDescent="0.25">
      <c r="A12">
        <v>5</v>
      </c>
      <c r="B12">
        <f t="shared" si="1"/>
        <v>5.0999999999999996</v>
      </c>
      <c r="C12">
        <f t="shared" si="2"/>
        <v>83.9</v>
      </c>
      <c r="D12">
        <f t="shared" si="3"/>
        <v>35.449999999999996</v>
      </c>
      <c r="E12">
        <f t="shared" si="4"/>
        <v>16.689999999999998</v>
      </c>
      <c r="F12">
        <f t="shared" si="0"/>
        <v>0</v>
      </c>
      <c r="G12">
        <f t="shared" si="5"/>
        <v>172.4</v>
      </c>
      <c r="K12" s="1" t="s">
        <v>32</v>
      </c>
      <c r="L12" s="1">
        <v>22.32</v>
      </c>
      <c r="M12" s="1">
        <v>58</v>
      </c>
      <c r="N12" s="1">
        <v>45</v>
      </c>
      <c r="O12" s="1">
        <v>3.83</v>
      </c>
      <c r="P12" s="1">
        <v>3.13</v>
      </c>
      <c r="Q12" s="1">
        <v>6</v>
      </c>
    </row>
    <row r="13" spans="1:19" x14ac:dyDescent="0.25">
      <c r="A13">
        <v>6</v>
      </c>
      <c r="B13">
        <f t="shared" si="1"/>
        <v>4.8899999999999997</v>
      </c>
      <c r="C13">
        <f t="shared" si="2"/>
        <v>79.5</v>
      </c>
      <c r="D13">
        <f t="shared" si="3"/>
        <v>40.589999999999996</v>
      </c>
      <c r="E13">
        <f t="shared" si="4"/>
        <v>21.83</v>
      </c>
      <c r="F13">
        <f t="shared" si="0"/>
        <v>0</v>
      </c>
      <c r="G13">
        <f t="shared" si="5"/>
        <v>163.4</v>
      </c>
      <c r="K13" s="1" t="s">
        <v>33</v>
      </c>
      <c r="L13" s="1">
        <v>22.91</v>
      </c>
      <c r="M13" s="1">
        <v>42.8</v>
      </c>
      <c r="N13" s="1">
        <v>30.5</v>
      </c>
      <c r="O13" s="1">
        <v>3</v>
      </c>
      <c r="P13" s="1">
        <v>2.2599999999999998</v>
      </c>
      <c r="Q13" s="1">
        <v>8</v>
      </c>
      <c r="R13" t="s">
        <v>77</v>
      </c>
    </row>
    <row r="14" spans="1:19" x14ac:dyDescent="0.25">
      <c r="A14">
        <v>7</v>
      </c>
      <c r="B14">
        <f t="shared" si="1"/>
        <v>4.7</v>
      </c>
      <c r="C14">
        <f t="shared" si="2"/>
        <v>75.400000000000006</v>
      </c>
      <c r="D14">
        <f t="shared" si="3"/>
        <v>45.54</v>
      </c>
      <c r="E14">
        <f t="shared" si="4"/>
        <v>4.95</v>
      </c>
      <c r="F14">
        <f t="shared" si="0"/>
        <v>0</v>
      </c>
      <c r="G14">
        <f t="shared" si="5"/>
        <v>154.9</v>
      </c>
      <c r="K14" t="s">
        <v>123</v>
      </c>
      <c r="L14">
        <v>22.36</v>
      </c>
      <c r="M14">
        <v>29.2</v>
      </c>
      <c r="N14">
        <v>19</v>
      </c>
      <c r="O14">
        <v>2.17</v>
      </c>
      <c r="P14">
        <v>1.44</v>
      </c>
      <c r="Q14">
        <v>11</v>
      </c>
      <c r="R14" t="s">
        <v>78</v>
      </c>
    </row>
    <row r="15" spans="1:19" x14ac:dyDescent="0.25">
      <c r="A15">
        <v>8</v>
      </c>
      <c r="B15">
        <f t="shared" si="1"/>
        <v>4.51</v>
      </c>
      <c r="C15">
        <f t="shared" si="2"/>
        <v>71.5</v>
      </c>
      <c r="D15">
        <f t="shared" si="3"/>
        <v>50.3</v>
      </c>
      <c r="E15">
        <f t="shared" si="4"/>
        <v>9.7100000000000009</v>
      </c>
      <c r="F15">
        <f t="shared" si="0"/>
        <v>0</v>
      </c>
      <c r="G15">
        <f t="shared" si="5"/>
        <v>146.9</v>
      </c>
      <c r="K15" t="s">
        <v>120</v>
      </c>
      <c r="L15">
        <v>10</v>
      </c>
      <c r="M15">
        <v>18.3</v>
      </c>
      <c r="N15">
        <v>14.7</v>
      </c>
      <c r="O15">
        <v>1.38</v>
      </c>
      <c r="P15">
        <v>1.08</v>
      </c>
      <c r="Q15">
        <v>7</v>
      </c>
    </row>
    <row r="16" spans="1:19" x14ac:dyDescent="0.25">
      <c r="A16">
        <v>9</v>
      </c>
      <c r="B16">
        <f t="shared" si="1"/>
        <v>4.33</v>
      </c>
      <c r="C16">
        <f t="shared" si="2"/>
        <v>67.8</v>
      </c>
      <c r="D16">
        <f t="shared" si="3"/>
        <v>54.879999999999995</v>
      </c>
      <c r="E16">
        <f t="shared" si="4"/>
        <v>14.290000000000001</v>
      </c>
      <c r="F16">
        <f t="shared" si="0"/>
        <v>0</v>
      </c>
      <c r="G16">
        <f t="shared" si="5"/>
        <v>139.30000000000001</v>
      </c>
      <c r="K16" t="s">
        <v>24</v>
      </c>
      <c r="L16">
        <f>SUM(L9:L15)</f>
        <v>141.12</v>
      </c>
      <c r="Q16">
        <f>SUM(Q9:Q15)</f>
        <v>44</v>
      </c>
    </row>
    <row r="17" spans="1:7" x14ac:dyDescent="0.25">
      <c r="A17">
        <v>10</v>
      </c>
      <c r="B17">
        <f t="shared" si="1"/>
        <v>4.16</v>
      </c>
      <c r="C17">
        <f t="shared" si="2"/>
        <v>64.400000000000006</v>
      </c>
      <c r="D17">
        <f t="shared" si="3"/>
        <v>59.289999999999992</v>
      </c>
      <c r="E17">
        <f t="shared" si="4"/>
        <v>18.700000000000003</v>
      </c>
      <c r="F17">
        <f t="shared" si="0"/>
        <v>0</v>
      </c>
      <c r="G17">
        <f t="shared" si="5"/>
        <v>132.19999999999999</v>
      </c>
    </row>
    <row r="18" spans="1:7" x14ac:dyDescent="0.25">
      <c r="A18">
        <v>11</v>
      </c>
      <c r="B18">
        <f t="shared" si="1"/>
        <v>3.99</v>
      </c>
      <c r="C18">
        <f t="shared" si="2"/>
        <v>61.1</v>
      </c>
      <c r="D18">
        <f t="shared" si="3"/>
        <v>63.529999999999994</v>
      </c>
      <c r="E18">
        <f t="shared" si="4"/>
        <v>22.940000000000005</v>
      </c>
      <c r="F18">
        <f t="shared" si="0"/>
        <v>0</v>
      </c>
      <c r="G18">
        <f t="shared" si="5"/>
        <v>125.5</v>
      </c>
    </row>
    <row r="19" spans="1:7" x14ac:dyDescent="0.25">
      <c r="A19">
        <v>12</v>
      </c>
      <c r="B19">
        <f t="shared" si="1"/>
        <v>3.83</v>
      </c>
      <c r="C19">
        <f t="shared" si="2"/>
        <v>58</v>
      </c>
      <c r="D19">
        <f t="shared" si="3"/>
        <v>67.61</v>
      </c>
      <c r="E19">
        <f t="shared" si="4"/>
        <v>4.08</v>
      </c>
      <c r="F19">
        <f t="shared" si="0"/>
        <v>0</v>
      </c>
      <c r="G19">
        <f t="shared" si="5"/>
        <v>119.1</v>
      </c>
    </row>
    <row r="20" spans="1:7" x14ac:dyDescent="0.25">
      <c r="A20">
        <v>13</v>
      </c>
      <c r="B20">
        <f t="shared" si="1"/>
        <v>3.68</v>
      </c>
      <c r="C20">
        <f t="shared" si="2"/>
        <v>55.1</v>
      </c>
      <c r="D20">
        <f t="shared" si="3"/>
        <v>71.540000000000006</v>
      </c>
      <c r="E20">
        <f t="shared" si="4"/>
        <v>8.01</v>
      </c>
      <c r="F20">
        <f t="shared" si="0"/>
        <v>0</v>
      </c>
      <c r="G20">
        <f t="shared" si="5"/>
        <v>113.1</v>
      </c>
    </row>
    <row r="21" spans="1:7" x14ac:dyDescent="0.25">
      <c r="A21">
        <v>14</v>
      </c>
      <c r="B21">
        <f t="shared" si="1"/>
        <v>3.53</v>
      </c>
      <c r="C21">
        <f t="shared" si="2"/>
        <v>52.3</v>
      </c>
      <c r="D21">
        <f t="shared" si="3"/>
        <v>75.320000000000007</v>
      </c>
      <c r="E21">
        <f t="shared" si="4"/>
        <v>11.79</v>
      </c>
      <c r="F21">
        <f t="shared" si="0"/>
        <v>0</v>
      </c>
      <c r="G21">
        <f t="shared" si="5"/>
        <v>107.4</v>
      </c>
    </row>
    <row r="22" spans="1:7" x14ac:dyDescent="0.25">
      <c r="A22">
        <v>15</v>
      </c>
      <c r="B22">
        <f t="shared" si="1"/>
        <v>3.39</v>
      </c>
      <c r="C22">
        <f t="shared" si="2"/>
        <v>49.7</v>
      </c>
      <c r="D22">
        <f t="shared" si="3"/>
        <v>78.960000000000008</v>
      </c>
      <c r="E22">
        <f t="shared" si="4"/>
        <v>15.43</v>
      </c>
      <c r="F22">
        <f t="shared" si="0"/>
        <v>0</v>
      </c>
      <c r="G22">
        <f t="shared" si="5"/>
        <v>102</v>
      </c>
    </row>
    <row r="23" spans="1:7" x14ac:dyDescent="0.25">
      <c r="A23">
        <v>16</v>
      </c>
      <c r="B23">
        <f t="shared" si="1"/>
        <v>3.26</v>
      </c>
      <c r="C23">
        <f t="shared" si="2"/>
        <v>47.3</v>
      </c>
      <c r="D23">
        <f t="shared" si="3"/>
        <v>82.470000000000013</v>
      </c>
      <c r="E23">
        <f t="shared" si="4"/>
        <v>18.939999999999998</v>
      </c>
      <c r="F23">
        <f t="shared" si="0"/>
        <v>0</v>
      </c>
      <c r="G23">
        <f t="shared" si="5"/>
        <v>97</v>
      </c>
    </row>
    <row r="24" spans="1:7" x14ac:dyDescent="0.25">
      <c r="A24">
        <v>17</v>
      </c>
      <c r="B24">
        <f t="shared" si="1"/>
        <v>3.13</v>
      </c>
      <c r="C24">
        <f t="shared" si="2"/>
        <v>45</v>
      </c>
      <c r="D24">
        <f t="shared" si="3"/>
        <v>85.850000000000009</v>
      </c>
      <c r="E24">
        <f t="shared" si="4"/>
        <v>22.319999999999997</v>
      </c>
      <c r="F24">
        <f t="shared" si="0"/>
        <v>0</v>
      </c>
      <c r="G24">
        <f t="shared" si="5"/>
        <v>92.3</v>
      </c>
    </row>
    <row r="25" spans="1:7" x14ac:dyDescent="0.25">
      <c r="A25">
        <v>18</v>
      </c>
      <c r="B25">
        <f t="shared" si="1"/>
        <v>3</v>
      </c>
      <c r="C25">
        <f t="shared" si="2"/>
        <v>42.8</v>
      </c>
      <c r="D25">
        <f t="shared" si="3"/>
        <v>89.100000000000009</v>
      </c>
      <c r="E25">
        <f t="shared" si="4"/>
        <v>3.25</v>
      </c>
      <c r="F25">
        <f t="shared" si="0"/>
        <v>0</v>
      </c>
      <c r="G25">
        <f t="shared" si="5"/>
        <v>87.8</v>
      </c>
    </row>
    <row r="26" spans="1:7" x14ac:dyDescent="0.25">
      <c r="A26">
        <v>19</v>
      </c>
      <c r="B26">
        <f t="shared" si="1"/>
        <v>2.88</v>
      </c>
      <c r="C26">
        <f t="shared" si="2"/>
        <v>40.700000000000003</v>
      </c>
      <c r="D26">
        <f t="shared" si="3"/>
        <v>92.23</v>
      </c>
      <c r="E26">
        <f t="shared" si="4"/>
        <v>6.38</v>
      </c>
      <c r="F26">
        <f t="shared" si="0"/>
        <v>0</v>
      </c>
      <c r="G26">
        <f t="shared" si="5"/>
        <v>83.5</v>
      </c>
    </row>
    <row r="27" spans="1:7" x14ac:dyDescent="0.25">
      <c r="A27">
        <v>20</v>
      </c>
      <c r="B27">
        <f t="shared" si="1"/>
        <v>2.77</v>
      </c>
      <c r="C27">
        <f t="shared" si="2"/>
        <v>38.799999999999997</v>
      </c>
      <c r="D27">
        <f t="shared" si="3"/>
        <v>95.25</v>
      </c>
      <c r="E27">
        <f t="shared" si="4"/>
        <v>9.4</v>
      </c>
      <c r="F27">
        <f t="shared" si="0"/>
        <v>0</v>
      </c>
      <c r="G27">
        <f t="shared" si="5"/>
        <v>79.5</v>
      </c>
    </row>
    <row r="28" spans="1:7" x14ac:dyDescent="0.25">
      <c r="A28">
        <v>21</v>
      </c>
      <c r="B28">
        <f t="shared" si="1"/>
        <v>2.65</v>
      </c>
      <c r="C28">
        <f t="shared" si="2"/>
        <v>36.9</v>
      </c>
      <c r="D28">
        <f t="shared" si="3"/>
        <v>98.15</v>
      </c>
      <c r="E28">
        <f t="shared" si="4"/>
        <v>12.3</v>
      </c>
      <c r="F28">
        <f t="shared" si="0"/>
        <v>0</v>
      </c>
      <c r="G28">
        <f t="shared" si="5"/>
        <v>75.699999999999989</v>
      </c>
    </row>
    <row r="29" spans="1:7" x14ac:dyDescent="0.25">
      <c r="A29">
        <v>22</v>
      </c>
      <c r="B29">
        <f t="shared" si="1"/>
        <v>2.5499999999999998</v>
      </c>
      <c r="C29">
        <f t="shared" si="2"/>
        <v>35.200000000000003</v>
      </c>
      <c r="D29">
        <f t="shared" si="3"/>
        <v>100.95</v>
      </c>
      <c r="E29">
        <f t="shared" si="4"/>
        <v>15.100000000000001</v>
      </c>
      <c r="F29">
        <f t="shared" si="0"/>
        <v>0</v>
      </c>
      <c r="G29">
        <f t="shared" si="5"/>
        <v>72.099999999999994</v>
      </c>
    </row>
    <row r="30" spans="1:7" x14ac:dyDescent="0.25">
      <c r="A30">
        <v>23</v>
      </c>
      <c r="B30">
        <f t="shared" si="1"/>
        <v>2.4500000000000002</v>
      </c>
      <c r="C30">
        <f t="shared" si="2"/>
        <v>33.5</v>
      </c>
      <c r="D30">
        <f t="shared" si="3"/>
        <v>103.65</v>
      </c>
      <c r="E30">
        <f t="shared" si="4"/>
        <v>17.8</v>
      </c>
      <c r="F30">
        <f t="shared" si="0"/>
        <v>0</v>
      </c>
      <c r="G30">
        <f t="shared" si="5"/>
        <v>68.7</v>
      </c>
    </row>
    <row r="31" spans="1:7" x14ac:dyDescent="0.25">
      <c r="A31">
        <v>24</v>
      </c>
      <c r="B31">
        <f t="shared" si="1"/>
        <v>2.35</v>
      </c>
      <c r="C31">
        <f t="shared" si="2"/>
        <v>32</v>
      </c>
      <c r="D31">
        <f t="shared" si="3"/>
        <v>106.25</v>
      </c>
      <c r="E31">
        <f t="shared" si="4"/>
        <v>20.400000000000002</v>
      </c>
      <c r="F31">
        <f t="shared" si="0"/>
        <v>0</v>
      </c>
      <c r="G31">
        <f t="shared" si="5"/>
        <v>65.5</v>
      </c>
    </row>
    <row r="32" spans="1:7" x14ac:dyDescent="0.25">
      <c r="A32">
        <v>25</v>
      </c>
      <c r="B32">
        <f t="shared" si="1"/>
        <v>2.2599999999999998</v>
      </c>
      <c r="C32">
        <f t="shared" si="2"/>
        <v>30.5</v>
      </c>
      <c r="D32">
        <f t="shared" si="3"/>
        <v>108.76</v>
      </c>
      <c r="E32">
        <f t="shared" si="4"/>
        <v>22.910000000000004</v>
      </c>
      <c r="F32">
        <f t="shared" si="0"/>
        <v>0</v>
      </c>
      <c r="G32">
        <f t="shared" si="5"/>
        <v>62.5</v>
      </c>
    </row>
    <row r="33" spans="1:7" x14ac:dyDescent="0.25">
      <c r="A33">
        <v>26</v>
      </c>
      <c r="B33">
        <f t="shared" si="1"/>
        <v>2.17</v>
      </c>
      <c r="C33">
        <f t="shared" si="2"/>
        <v>29.2</v>
      </c>
      <c r="D33">
        <f t="shared" si="3"/>
        <v>111.18</v>
      </c>
      <c r="E33">
        <f t="shared" si="4"/>
        <v>2.42</v>
      </c>
      <c r="F33">
        <f t="shared" si="0"/>
        <v>0</v>
      </c>
      <c r="G33">
        <f t="shared" si="5"/>
        <v>59.7</v>
      </c>
    </row>
    <row r="34" spans="1:7" x14ac:dyDescent="0.25">
      <c r="A34">
        <v>27</v>
      </c>
      <c r="B34">
        <f t="shared" si="1"/>
        <v>2.08</v>
      </c>
      <c r="C34">
        <f t="shared" si="2"/>
        <v>27.9</v>
      </c>
      <c r="D34">
        <f t="shared" si="3"/>
        <v>113.51</v>
      </c>
      <c r="E34">
        <f t="shared" si="4"/>
        <v>4.75</v>
      </c>
      <c r="F34">
        <f t="shared" si="0"/>
        <v>0</v>
      </c>
      <c r="G34">
        <f t="shared" si="5"/>
        <v>57.099999999999994</v>
      </c>
    </row>
    <row r="35" spans="1:7" x14ac:dyDescent="0.25">
      <c r="A35">
        <v>28</v>
      </c>
      <c r="B35">
        <f t="shared" si="1"/>
        <v>2</v>
      </c>
      <c r="C35">
        <f t="shared" si="2"/>
        <v>26.6</v>
      </c>
      <c r="D35">
        <f t="shared" si="3"/>
        <v>115.76</v>
      </c>
      <c r="E35">
        <f t="shared" si="4"/>
        <v>7</v>
      </c>
      <c r="F35">
        <f t="shared" si="0"/>
        <v>0</v>
      </c>
      <c r="G35">
        <f t="shared" si="5"/>
        <v>54.5</v>
      </c>
    </row>
    <row r="36" spans="1:7" x14ac:dyDescent="0.25">
      <c r="A36">
        <v>29</v>
      </c>
      <c r="B36">
        <f t="shared" si="1"/>
        <v>1.92</v>
      </c>
      <c r="C36">
        <f t="shared" si="2"/>
        <v>25.5</v>
      </c>
      <c r="D36">
        <f t="shared" si="3"/>
        <v>117.93</v>
      </c>
      <c r="E36">
        <f t="shared" si="4"/>
        <v>9.17</v>
      </c>
      <c r="F36">
        <f t="shared" si="0"/>
        <v>0</v>
      </c>
      <c r="G36">
        <f t="shared" si="5"/>
        <v>52.1</v>
      </c>
    </row>
    <row r="37" spans="1:7" x14ac:dyDescent="0.25">
      <c r="A37">
        <v>30</v>
      </c>
      <c r="B37">
        <f t="shared" si="1"/>
        <v>1.84</v>
      </c>
      <c r="C37">
        <f t="shared" si="2"/>
        <v>24.4</v>
      </c>
      <c r="D37">
        <f t="shared" si="3"/>
        <v>120.02000000000001</v>
      </c>
      <c r="E37">
        <f t="shared" si="4"/>
        <v>11.26</v>
      </c>
      <c r="F37">
        <f t="shared" si="0"/>
        <v>0</v>
      </c>
      <c r="G37">
        <f t="shared" si="5"/>
        <v>49.9</v>
      </c>
    </row>
    <row r="38" spans="1:7" x14ac:dyDescent="0.25">
      <c r="A38">
        <v>31</v>
      </c>
      <c r="B38">
        <f t="shared" si="1"/>
        <v>1.77</v>
      </c>
      <c r="C38">
        <f t="shared" si="2"/>
        <v>23.4</v>
      </c>
      <c r="D38">
        <f t="shared" si="3"/>
        <v>122.04</v>
      </c>
      <c r="E38">
        <f t="shared" si="4"/>
        <v>13.28</v>
      </c>
      <c r="F38">
        <f t="shared" si="0"/>
        <v>19.48</v>
      </c>
      <c r="G38">
        <f t="shared" si="5"/>
        <v>47.8</v>
      </c>
    </row>
    <row r="39" spans="1:7" x14ac:dyDescent="0.25">
      <c r="A39">
        <v>32</v>
      </c>
      <c r="B39">
        <f t="shared" si="1"/>
        <v>1.7</v>
      </c>
      <c r="C39">
        <f t="shared" si="2"/>
        <v>22.4</v>
      </c>
      <c r="D39">
        <f t="shared" si="3"/>
        <v>123.99000000000001</v>
      </c>
      <c r="E39">
        <f t="shared" si="4"/>
        <v>15.229999999999999</v>
      </c>
      <c r="F39">
        <f t="shared" si="0"/>
        <v>17.61</v>
      </c>
      <c r="G39">
        <f t="shared" si="5"/>
        <v>45.8</v>
      </c>
    </row>
    <row r="40" spans="1:7" x14ac:dyDescent="0.25">
      <c r="A40">
        <v>33</v>
      </c>
      <c r="B40">
        <f t="shared" si="1"/>
        <v>1.63</v>
      </c>
      <c r="C40">
        <f t="shared" si="2"/>
        <v>21.5</v>
      </c>
      <c r="D40">
        <f t="shared" si="3"/>
        <v>125.87</v>
      </c>
      <c r="E40">
        <f t="shared" si="4"/>
        <v>17.11</v>
      </c>
      <c r="F40">
        <f t="shared" si="0"/>
        <v>15.809999999999997</v>
      </c>
      <c r="G40">
        <f t="shared" si="5"/>
        <v>43.9</v>
      </c>
    </row>
    <row r="41" spans="1:7" x14ac:dyDescent="0.25">
      <c r="A41">
        <v>34</v>
      </c>
      <c r="B41">
        <f t="shared" si="1"/>
        <v>1.56</v>
      </c>
      <c r="C41">
        <f t="shared" si="2"/>
        <v>20.6</v>
      </c>
      <c r="D41">
        <f t="shared" si="3"/>
        <v>127.68</v>
      </c>
      <c r="E41">
        <f t="shared" si="4"/>
        <v>18.919999999999998</v>
      </c>
      <c r="F41">
        <f t="shared" si="0"/>
        <v>14.079999999999998</v>
      </c>
      <c r="G41">
        <f t="shared" si="5"/>
        <v>42.1</v>
      </c>
    </row>
    <row r="42" spans="1:7" x14ac:dyDescent="0.25">
      <c r="A42">
        <v>35</v>
      </c>
      <c r="B42">
        <f t="shared" si="1"/>
        <v>1.5</v>
      </c>
      <c r="C42">
        <f t="shared" si="2"/>
        <v>19.8</v>
      </c>
      <c r="D42">
        <f t="shared" si="3"/>
        <v>129.43</v>
      </c>
      <c r="E42">
        <f t="shared" si="4"/>
        <v>20.669999999999998</v>
      </c>
      <c r="F42">
        <f t="shared" si="0"/>
        <v>12.419999999999998</v>
      </c>
      <c r="G42">
        <f t="shared" si="5"/>
        <v>40.400000000000006</v>
      </c>
    </row>
    <row r="43" spans="1:7" x14ac:dyDescent="0.25">
      <c r="A43">
        <v>36</v>
      </c>
      <c r="B43">
        <f t="shared" si="1"/>
        <v>1.44</v>
      </c>
      <c r="C43">
        <f t="shared" si="2"/>
        <v>19</v>
      </c>
      <c r="D43">
        <f t="shared" si="3"/>
        <v>131.12</v>
      </c>
      <c r="E43">
        <f t="shared" si="4"/>
        <v>22.36</v>
      </c>
      <c r="F43">
        <f t="shared" si="0"/>
        <v>10.819999999999999</v>
      </c>
      <c r="G43">
        <f t="shared" si="5"/>
        <v>38.799999999999997</v>
      </c>
    </row>
    <row r="44" spans="1:7" x14ac:dyDescent="0.25">
      <c r="A44">
        <v>37</v>
      </c>
      <c r="B44">
        <f t="shared" si="1"/>
        <v>1.38</v>
      </c>
      <c r="C44">
        <f t="shared" si="2"/>
        <v>18.3</v>
      </c>
      <c r="D44">
        <f t="shared" si="3"/>
        <v>132.75</v>
      </c>
      <c r="E44">
        <f t="shared" si="4"/>
        <v>1.63</v>
      </c>
      <c r="F44">
        <f t="shared" si="0"/>
        <v>9.2799999999999994</v>
      </c>
      <c r="G44">
        <f t="shared" si="5"/>
        <v>37.299999999999997</v>
      </c>
    </row>
    <row r="45" spans="1:7" x14ac:dyDescent="0.25">
      <c r="A45">
        <v>38</v>
      </c>
      <c r="B45">
        <f t="shared" si="1"/>
        <v>1.33</v>
      </c>
      <c r="C45">
        <f t="shared" si="2"/>
        <v>17.600000000000001</v>
      </c>
      <c r="D45">
        <f t="shared" si="3"/>
        <v>134.33000000000001</v>
      </c>
      <c r="E45">
        <f t="shared" si="4"/>
        <v>3.21</v>
      </c>
      <c r="F45">
        <f t="shared" si="0"/>
        <v>7.7999999999999989</v>
      </c>
    </row>
    <row r="46" spans="1:7" x14ac:dyDescent="0.25">
      <c r="A46">
        <v>39</v>
      </c>
      <c r="B46">
        <f t="shared" si="1"/>
        <v>1.27</v>
      </c>
      <c r="C46">
        <f t="shared" si="2"/>
        <v>16.899999999999999</v>
      </c>
      <c r="D46">
        <f t="shared" si="3"/>
        <v>135.85000000000002</v>
      </c>
      <c r="E46">
        <f t="shared" si="4"/>
        <v>4.7300000000000004</v>
      </c>
      <c r="F46">
        <f t="shared" si="0"/>
        <v>6.3699999999999992</v>
      </c>
    </row>
    <row r="47" spans="1:7" x14ac:dyDescent="0.25">
      <c r="A47">
        <v>40</v>
      </c>
      <c r="B47">
        <f t="shared" si="1"/>
        <v>1.22</v>
      </c>
      <c r="C47">
        <f t="shared" si="2"/>
        <v>16.3</v>
      </c>
      <c r="D47">
        <f t="shared" si="3"/>
        <v>137.32000000000002</v>
      </c>
      <c r="E47">
        <f t="shared" si="4"/>
        <v>6.2</v>
      </c>
      <c r="F47">
        <f t="shared" si="0"/>
        <v>5</v>
      </c>
    </row>
    <row r="48" spans="1:7" x14ac:dyDescent="0.25">
      <c r="A48">
        <v>41</v>
      </c>
      <c r="B48">
        <f t="shared" si="1"/>
        <v>1.17</v>
      </c>
      <c r="C48">
        <f t="shared" si="2"/>
        <v>15.7</v>
      </c>
      <c r="D48">
        <f t="shared" si="3"/>
        <v>138.74</v>
      </c>
      <c r="E48">
        <f t="shared" si="4"/>
        <v>7.62</v>
      </c>
      <c r="F48">
        <f t="shared" si="0"/>
        <v>3.68</v>
      </c>
    </row>
    <row r="49" spans="1:6" x14ac:dyDescent="0.25">
      <c r="A49">
        <v>42</v>
      </c>
      <c r="B49">
        <f t="shared" si="1"/>
        <v>1.1299999999999999</v>
      </c>
      <c r="C49">
        <f t="shared" si="2"/>
        <v>15.2</v>
      </c>
      <c r="D49">
        <f t="shared" si="3"/>
        <v>140.12</v>
      </c>
      <c r="E49">
        <f t="shared" si="4"/>
        <v>9</v>
      </c>
      <c r="F49">
        <f t="shared" si="0"/>
        <v>2.41</v>
      </c>
    </row>
    <row r="50" spans="1:6" x14ac:dyDescent="0.25">
      <c r="A50">
        <v>43</v>
      </c>
      <c r="B50">
        <f t="shared" si="1"/>
        <v>1.08</v>
      </c>
      <c r="C50">
        <f t="shared" si="2"/>
        <v>14.7</v>
      </c>
      <c r="D50">
        <f t="shared" si="3"/>
        <v>141.45000000000002</v>
      </c>
      <c r="E50">
        <f t="shared" si="4"/>
        <v>10.33</v>
      </c>
      <c r="F50">
        <f t="shared" si="0"/>
        <v>1.1800000000000002</v>
      </c>
    </row>
  </sheetData>
  <conditionalFormatting sqref="E7:E68">
    <cfRule type="cellIs" dxfId="9" priority="1" operator="lessThan">
      <formula>6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7BC43-E9B9-41B0-8A95-530120DF7687}">
  <dimension ref="A2:S38"/>
  <sheetViews>
    <sheetView workbookViewId="0">
      <selection activeCell="K12" sqref="K12"/>
    </sheetView>
  </sheetViews>
  <sheetFormatPr defaultRowHeight="15" x14ac:dyDescent="0.25"/>
  <cols>
    <col min="1" max="1" width="15.28515625" customWidth="1"/>
  </cols>
  <sheetData>
    <row r="2" spans="1:19" x14ac:dyDescent="0.25">
      <c r="A2" t="s">
        <v>3</v>
      </c>
      <c r="B2">
        <v>3.3</v>
      </c>
      <c r="C2" t="s">
        <v>7</v>
      </c>
      <c r="D2">
        <v>0.25</v>
      </c>
      <c r="G2">
        <v>0.1</v>
      </c>
    </row>
    <row r="3" spans="1:19" x14ac:dyDescent="0.25">
      <c r="A3" t="s">
        <v>0</v>
      </c>
      <c r="B3">
        <v>6</v>
      </c>
      <c r="C3" t="s">
        <v>9</v>
      </c>
      <c r="D3">
        <v>119</v>
      </c>
    </row>
    <row r="4" spans="1:19" x14ac:dyDescent="0.25">
      <c r="A4" t="s">
        <v>1</v>
      </c>
      <c r="B4">
        <v>110</v>
      </c>
      <c r="C4" t="s">
        <v>11</v>
      </c>
      <c r="D4">
        <v>25</v>
      </c>
    </row>
    <row r="5" spans="1:19" x14ac:dyDescent="0.25">
      <c r="A5" t="s">
        <v>5</v>
      </c>
      <c r="B5">
        <f>B4-B3</f>
        <v>104</v>
      </c>
      <c r="C5" t="s">
        <v>12</v>
      </c>
      <c r="D5">
        <v>23</v>
      </c>
    </row>
    <row r="6" spans="1:19" x14ac:dyDescent="0.25">
      <c r="A6" t="s">
        <v>2</v>
      </c>
      <c r="B6" t="s">
        <v>4</v>
      </c>
      <c r="C6" t="s">
        <v>6</v>
      </c>
      <c r="D6" t="s">
        <v>8</v>
      </c>
      <c r="F6" t="s">
        <v>10</v>
      </c>
      <c r="G6" t="s">
        <v>13</v>
      </c>
    </row>
    <row r="7" spans="1:19" x14ac:dyDescent="0.25">
      <c r="A7">
        <v>0</v>
      </c>
      <c r="B7">
        <f>ROUND($B$2*POWER(2,-A7/17),2)</f>
        <v>3.3</v>
      </c>
      <c r="C7">
        <f>ROUND($B$3+$B$5*POWER(2,-A7/12),1)</f>
        <v>110</v>
      </c>
      <c r="D7">
        <f>B7+$D$2</f>
        <v>3.55</v>
      </c>
      <c r="E7">
        <f>IF(C7 &gt; $D$3, 0, B7+$D$2)</f>
        <v>3.55</v>
      </c>
      <c r="F7">
        <f t="shared" ref="F7:F67" si="0">IF(C7 &gt; $D$4, 0, F8+B7+$G$2)</f>
        <v>0</v>
      </c>
    </row>
    <row r="8" spans="1:19" x14ac:dyDescent="0.25">
      <c r="A8">
        <v>1</v>
      </c>
      <c r="B8">
        <f t="shared" ref="B8:B68" si="1">ROUND($B$2*POWER(2,-A8/17),2)</f>
        <v>3.17</v>
      </c>
      <c r="C8">
        <f t="shared" ref="C8:C68" si="2">ROUND($B$3+$B$5*POWER(2,-A8/12),1)</f>
        <v>104.2</v>
      </c>
      <c r="D8">
        <f>D7+B8+$D$2</f>
        <v>6.97</v>
      </c>
      <c r="E8">
        <f>IF(C8 &gt; $D$3, 0, IF(E7+B8+$D$2 &gt; $D$5, B8+$D$2, E7+B8+$D$2))</f>
        <v>6.97</v>
      </c>
      <c r="F8">
        <f t="shared" si="0"/>
        <v>0</v>
      </c>
      <c r="G8">
        <f>C8+C7</f>
        <v>214.2</v>
      </c>
      <c r="K8" t="s">
        <v>14</v>
      </c>
      <c r="L8" t="s">
        <v>20</v>
      </c>
      <c r="M8" t="s">
        <v>16</v>
      </c>
      <c r="N8" t="s">
        <v>17</v>
      </c>
      <c r="O8" t="s">
        <v>18</v>
      </c>
      <c r="P8" t="s">
        <v>19</v>
      </c>
      <c r="Q8" t="s">
        <v>21</v>
      </c>
    </row>
    <row r="9" spans="1:19" x14ac:dyDescent="0.25">
      <c r="A9">
        <v>2</v>
      </c>
      <c r="B9">
        <f t="shared" si="1"/>
        <v>3.04</v>
      </c>
      <c r="C9">
        <f t="shared" si="2"/>
        <v>98.7</v>
      </c>
      <c r="D9">
        <f t="shared" ref="D9:D67" si="3">D8+B9+$D$2</f>
        <v>10.26</v>
      </c>
      <c r="E9">
        <f t="shared" ref="E9:E67" si="4">IF(C9 &gt; $D$3, 0, IF(E8+B9+$D$2 &gt; $D$5, B9+$D$2, E8+B9+$D$2))</f>
        <v>10.26</v>
      </c>
      <c r="F9">
        <f t="shared" si="0"/>
        <v>0</v>
      </c>
      <c r="G9">
        <f t="shared" ref="G9:G44" si="5">C9+C8</f>
        <v>202.9</v>
      </c>
      <c r="K9" s="1" t="s">
        <v>25</v>
      </c>
      <c r="L9" s="1">
        <v>22.25</v>
      </c>
      <c r="M9" s="1">
        <v>110</v>
      </c>
      <c r="N9" s="1">
        <v>79.5</v>
      </c>
      <c r="O9" s="1">
        <v>3.3</v>
      </c>
      <c r="P9" s="1">
        <v>2.58</v>
      </c>
      <c r="Q9" s="1">
        <v>7</v>
      </c>
      <c r="S9" t="s">
        <v>121</v>
      </c>
    </row>
    <row r="10" spans="1:19" x14ac:dyDescent="0.25">
      <c r="A10">
        <v>3</v>
      </c>
      <c r="B10">
        <f t="shared" si="1"/>
        <v>2.92</v>
      </c>
      <c r="C10">
        <f t="shared" si="2"/>
        <v>93.5</v>
      </c>
      <c r="D10">
        <f t="shared" si="3"/>
        <v>13.43</v>
      </c>
      <c r="E10">
        <f t="shared" si="4"/>
        <v>13.43</v>
      </c>
      <c r="F10">
        <f t="shared" si="0"/>
        <v>0</v>
      </c>
      <c r="G10">
        <f t="shared" si="5"/>
        <v>192.2</v>
      </c>
      <c r="K10" s="1" t="s">
        <v>26</v>
      </c>
      <c r="L10" s="1">
        <v>21.32</v>
      </c>
      <c r="M10" s="1">
        <v>75.400000000000006</v>
      </c>
      <c r="N10" s="1">
        <v>49.7</v>
      </c>
      <c r="O10" s="1">
        <v>2.48</v>
      </c>
      <c r="P10" s="1">
        <v>1.79</v>
      </c>
      <c r="Q10" s="1">
        <v>9</v>
      </c>
    </row>
    <row r="11" spans="1:19" x14ac:dyDescent="0.25">
      <c r="A11">
        <v>4</v>
      </c>
      <c r="B11">
        <f t="shared" si="1"/>
        <v>2.8</v>
      </c>
      <c r="C11">
        <f t="shared" si="2"/>
        <v>88.5</v>
      </c>
      <c r="D11">
        <f t="shared" si="3"/>
        <v>16.48</v>
      </c>
      <c r="E11">
        <f t="shared" si="4"/>
        <v>16.48</v>
      </c>
      <c r="F11">
        <f t="shared" si="0"/>
        <v>0</v>
      </c>
      <c r="G11">
        <f t="shared" si="5"/>
        <v>182</v>
      </c>
      <c r="K11" s="2" t="s">
        <v>122</v>
      </c>
      <c r="L11" s="2">
        <v>23</v>
      </c>
      <c r="M11" s="2">
        <v>47.3</v>
      </c>
      <c r="N11" s="2">
        <v>23.4</v>
      </c>
      <c r="O11" s="2">
        <v>1.72</v>
      </c>
      <c r="P11" s="2">
        <v>0.93</v>
      </c>
      <c r="Q11" s="2">
        <v>16</v>
      </c>
    </row>
    <row r="12" spans="1:19" x14ac:dyDescent="0.25">
      <c r="A12">
        <v>5</v>
      </c>
      <c r="B12">
        <f t="shared" si="1"/>
        <v>2.69</v>
      </c>
      <c r="C12">
        <f t="shared" si="2"/>
        <v>83.9</v>
      </c>
      <c r="D12">
        <f t="shared" si="3"/>
        <v>19.420000000000002</v>
      </c>
      <c r="E12">
        <f t="shared" si="4"/>
        <v>19.420000000000002</v>
      </c>
      <c r="F12">
        <f t="shared" si="0"/>
        <v>0</v>
      </c>
      <c r="G12">
        <f t="shared" si="5"/>
        <v>172.4</v>
      </c>
    </row>
    <row r="13" spans="1:19" x14ac:dyDescent="0.25">
      <c r="A13">
        <v>6</v>
      </c>
      <c r="B13">
        <f t="shared" si="1"/>
        <v>2.58</v>
      </c>
      <c r="C13">
        <f t="shared" si="2"/>
        <v>79.5</v>
      </c>
      <c r="D13">
        <f t="shared" si="3"/>
        <v>22.25</v>
      </c>
      <c r="E13">
        <f t="shared" si="4"/>
        <v>22.25</v>
      </c>
      <c r="F13">
        <f t="shared" si="0"/>
        <v>0</v>
      </c>
      <c r="G13">
        <f t="shared" si="5"/>
        <v>163.4</v>
      </c>
      <c r="K13" t="s">
        <v>24</v>
      </c>
      <c r="L13">
        <f>SUM(L9:L12)</f>
        <v>66.569999999999993</v>
      </c>
      <c r="Q13">
        <f>SUM(Q9:Q12)</f>
        <v>32</v>
      </c>
    </row>
    <row r="14" spans="1:19" x14ac:dyDescent="0.25">
      <c r="A14">
        <v>7</v>
      </c>
      <c r="B14">
        <f t="shared" si="1"/>
        <v>2.48</v>
      </c>
      <c r="C14">
        <f t="shared" si="2"/>
        <v>75.400000000000006</v>
      </c>
      <c r="D14">
        <f t="shared" si="3"/>
        <v>24.98</v>
      </c>
      <c r="E14">
        <f t="shared" si="4"/>
        <v>2.73</v>
      </c>
      <c r="F14">
        <f t="shared" si="0"/>
        <v>0</v>
      </c>
      <c r="G14">
        <f t="shared" si="5"/>
        <v>154.9</v>
      </c>
    </row>
    <row r="15" spans="1:19" x14ac:dyDescent="0.25">
      <c r="A15">
        <v>8</v>
      </c>
      <c r="B15">
        <f t="shared" si="1"/>
        <v>2.38</v>
      </c>
      <c r="C15">
        <f t="shared" si="2"/>
        <v>71.5</v>
      </c>
      <c r="D15">
        <f t="shared" si="3"/>
        <v>27.61</v>
      </c>
      <c r="E15">
        <f t="shared" si="4"/>
        <v>5.3599999999999994</v>
      </c>
      <c r="F15">
        <f t="shared" si="0"/>
        <v>0</v>
      </c>
      <c r="G15">
        <f t="shared" si="5"/>
        <v>146.9</v>
      </c>
    </row>
    <row r="16" spans="1:19" x14ac:dyDescent="0.25">
      <c r="A16">
        <v>9</v>
      </c>
      <c r="B16">
        <f t="shared" si="1"/>
        <v>2.29</v>
      </c>
      <c r="C16">
        <f t="shared" si="2"/>
        <v>67.8</v>
      </c>
      <c r="D16">
        <f t="shared" si="3"/>
        <v>30.15</v>
      </c>
      <c r="E16">
        <f t="shared" si="4"/>
        <v>7.8999999999999995</v>
      </c>
      <c r="F16">
        <f t="shared" si="0"/>
        <v>0</v>
      </c>
      <c r="G16">
        <f t="shared" si="5"/>
        <v>139.30000000000001</v>
      </c>
    </row>
    <row r="17" spans="1:7" x14ac:dyDescent="0.25">
      <c r="A17">
        <v>10</v>
      </c>
      <c r="B17">
        <f t="shared" si="1"/>
        <v>2.2000000000000002</v>
      </c>
      <c r="C17">
        <f t="shared" si="2"/>
        <v>64.400000000000006</v>
      </c>
      <c r="D17">
        <f t="shared" si="3"/>
        <v>32.6</v>
      </c>
      <c r="E17">
        <f t="shared" si="4"/>
        <v>10.35</v>
      </c>
      <c r="F17">
        <f t="shared" si="0"/>
        <v>0</v>
      </c>
      <c r="G17">
        <f t="shared" si="5"/>
        <v>132.19999999999999</v>
      </c>
    </row>
    <row r="18" spans="1:7" x14ac:dyDescent="0.25">
      <c r="A18">
        <v>11</v>
      </c>
      <c r="B18">
        <f t="shared" si="1"/>
        <v>2.11</v>
      </c>
      <c r="C18">
        <f t="shared" si="2"/>
        <v>61.1</v>
      </c>
      <c r="D18">
        <f t="shared" si="3"/>
        <v>34.96</v>
      </c>
      <c r="E18">
        <f t="shared" si="4"/>
        <v>12.709999999999999</v>
      </c>
      <c r="F18">
        <f t="shared" si="0"/>
        <v>0</v>
      </c>
      <c r="G18">
        <f t="shared" si="5"/>
        <v>125.5</v>
      </c>
    </row>
    <row r="19" spans="1:7" x14ac:dyDescent="0.25">
      <c r="A19">
        <v>12</v>
      </c>
      <c r="B19">
        <f t="shared" si="1"/>
        <v>2.02</v>
      </c>
      <c r="C19">
        <f t="shared" si="2"/>
        <v>58</v>
      </c>
      <c r="D19">
        <f t="shared" si="3"/>
        <v>37.230000000000004</v>
      </c>
      <c r="E19">
        <f t="shared" si="4"/>
        <v>14.979999999999999</v>
      </c>
      <c r="F19">
        <f t="shared" si="0"/>
        <v>0</v>
      </c>
      <c r="G19">
        <f t="shared" si="5"/>
        <v>119.1</v>
      </c>
    </row>
    <row r="20" spans="1:7" x14ac:dyDescent="0.25">
      <c r="A20">
        <v>13</v>
      </c>
      <c r="B20">
        <f t="shared" si="1"/>
        <v>1.94</v>
      </c>
      <c r="C20">
        <f t="shared" si="2"/>
        <v>55.1</v>
      </c>
      <c r="D20">
        <f t="shared" si="3"/>
        <v>39.42</v>
      </c>
      <c r="E20">
        <f t="shared" si="4"/>
        <v>17.169999999999998</v>
      </c>
      <c r="F20">
        <f t="shared" si="0"/>
        <v>0</v>
      </c>
      <c r="G20">
        <f t="shared" si="5"/>
        <v>113.1</v>
      </c>
    </row>
    <row r="21" spans="1:7" x14ac:dyDescent="0.25">
      <c r="A21">
        <v>14</v>
      </c>
      <c r="B21">
        <f t="shared" si="1"/>
        <v>1.86</v>
      </c>
      <c r="C21">
        <f t="shared" si="2"/>
        <v>52.3</v>
      </c>
      <c r="D21">
        <f t="shared" si="3"/>
        <v>41.53</v>
      </c>
      <c r="E21">
        <f t="shared" si="4"/>
        <v>19.279999999999998</v>
      </c>
      <c r="F21">
        <f t="shared" si="0"/>
        <v>0</v>
      </c>
      <c r="G21">
        <f t="shared" si="5"/>
        <v>107.4</v>
      </c>
    </row>
    <row r="22" spans="1:7" x14ac:dyDescent="0.25">
      <c r="A22">
        <v>15</v>
      </c>
      <c r="B22">
        <f t="shared" si="1"/>
        <v>1.79</v>
      </c>
      <c r="C22">
        <f t="shared" si="2"/>
        <v>49.7</v>
      </c>
      <c r="D22">
        <f t="shared" si="3"/>
        <v>43.57</v>
      </c>
      <c r="E22">
        <f t="shared" si="4"/>
        <v>21.319999999999997</v>
      </c>
      <c r="F22">
        <f t="shared" si="0"/>
        <v>0</v>
      </c>
      <c r="G22">
        <f t="shared" si="5"/>
        <v>102</v>
      </c>
    </row>
    <row r="23" spans="1:7" x14ac:dyDescent="0.25">
      <c r="A23">
        <v>16</v>
      </c>
      <c r="B23">
        <f t="shared" si="1"/>
        <v>1.72</v>
      </c>
      <c r="C23">
        <f t="shared" si="2"/>
        <v>47.3</v>
      </c>
      <c r="D23">
        <f t="shared" si="3"/>
        <v>45.54</v>
      </c>
      <c r="E23">
        <f t="shared" si="4"/>
        <v>1.97</v>
      </c>
      <c r="F23">
        <f t="shared" si="0"/>
        <v>0</v>
      </c>
      <c r="G23">
        <f t="shared" si="5"/>
        <v>97</v>
      </c>
    </row>
    <row r="24" spans="1:7" x14ac:dyDescent="0.25">
      <c r="A24">
        <v>17</v>
      </c>
      <c r="B24">
        <f t="shared" si="1"/>
        <v>1.65</v>
      </c>
      <c r="C24">
        <f t="shared" si="2"/>
        <v>45</v>
      </c>
      <c r="D24">
        <f t="shared" si="3"/>
        <v>47.44</v>
      </c>
      <c r="E24">
        <f t="shared" si="4"/>
        <v>3.87</v>
      </c>
      <c r="F24">
        <f t="shared" si="0"/>
        <v>0</v>
      </c>
      <c r="G24">
        <f t="shared" si="5"/>
        <v>92.3</v>
      </c>
    </row>
    <row r="25" spans="1:7" x14ac:dyDescent="0.25">
      <c r="A25">
        <v>18</v>
      </c>
      <c r="B25">
        <f t="shared" si="1"/>
        <v>1.58</v>
      </c>
      <c r="C25">
        <f t="shared" si="2"/>
        <v>42.8</v>
      </c>
      <c r="D25">
        <f t="shared" si="3"/>
        <v>49.269999999999996</v>
      </c>
      <c r="E25">
        <f t="shared" si="4"/>
        <v>5.7</v>
      </c>
      <c r="F25">
        <f t="shared" si="0"/>
        <v>0</v>
      </c>
      <c r="G25">
        <f t="shared" si="5"/>
        <v>87.8</v>
      </c>
    </row>
    <row r="26" spans="1:7" x14ac:dyDescent="0.25">
      <c r="A26">
        <v>19</v>
      </c>
      <c r="B26">
        <f t="shared" si="1"/>
        <v>1.52</v>
      </c>
      <c r="C26">
        <f t="shared" si="2"/>
        <v>40.700000000000003</v>
      </c>
      <c r="D26">
        <f t="shared" si="3"/>
        <v>51.04</v>
      </c>
      <c r="E26">
        <f t="shared" si="4"/>
        <v>7.4700000000000006</v>
      </c>
      <c r="F26">
        <f t="shared" si="0"/>
        <v>0</v>
      </c>
      <c r="G26">
        <f t="shared" si="5"/>
        <v>83.5</v>
      </c>
    </row>
    <row r="27" spans="1:7" x14ac:dyDescent="0.25">
      <c r="A27">
        <v>20</v>
      </c>
      <c r="B27">
        <f t="shared" si="1"/>
        <v>1.46</v>
      </c>
      <c r="C27">
        <f t="shared" si="2"/>
        <v>38.799999999999997</v>
      </c>
      <c r="D27">
        <f t="shared" si="3"/>
        <v>52.75</v>
      </c>
      <c r="E27">
        <f t="shared" si="4"/>
        <v>9.18</v>
      </c>
      <c r="F27">
        <f t="shared" si="0"/>
        <v>0</v>
      </c>
      <c r="G27">
        <f t="shared" si="5"/>
        <v>79.5</v>
      </c>
    </row>
    <row r="28" spans="1:7" x14ac:dyDescent="0.25">
      <c r="A28">
        <v>21</v>
      </c>
      <c r="B28">
        <f t="shared" si="1"/>
        <v>1.4</v>
      </c>
      <c r="C28">
        <f t="shared" si="2"/>
        <v>36.9</v>
      </c>
      <c r="D28">
        <f t="shared" si="3"/>
        <v>54.4</v>
      </c>
      <c r="E28">
        <f t="shared" si="4"/>
        <v>10.83</v>
      </c>
      <c r="F28">
        <f t="shared" si="0"/>
        <v>0</v>
      </c>
      <c r="G28">
        <f t="shared" si="5"/>
        <v>75.699999999999989</v>
      </c>
    </row>
    <row r="29" spans="1:7" x14ac:dyDescent="0.25">
      <c r="A29">
        <v>22</v>
      </c>
      <c r="B29">
        <f t="shared" si="1"/>
        <v>1.35</v>
      </c>
      <c r="C29">
        <f t="shared" si="2"/>
        <v>35.200000000000003</v>
      </c>
      <c r="D29">
        <f t="shared" si="3"/>
        <v>56</v>
      </c>
      <c r="E29">
        <f t="shared" si="4"/>
        <v>12.43</v>
      </c>
      <c r="F29">
        <f t="shared" si="0"/>
        <v>0</v>
      </c>
      <c r="G29">
        <f t="shared" si="5"/>
        <v>72.099999999999994</v>
      </c>
    </row>
    <row r="30" spans="1:7" x14ac:dyDescent="0.25">
      <c r="A30">
        <v>23</v>
      </c>
      <c r="B30">
        <f t="shared" si="1"/>
        <v>1.29</v>
      </c>
      <c r="C30">
        <f t="shared" si="2"/>
        <v>33.5</v>
      </c>
      <c r="D30">
        <f t="shared" si="3"/>
        <v>57.54</v>
      </c>
      <c r="E30">
        <f t="shared" si="4"/>
        <v>13.969999999999999</v>
      </c>
      <c r="F30">
        <f t="shared" si="0"/>
        <v>0</v>
      </c>
      <c r="G30">
        <f t="shared" si="5"/>
        <v>68.7</v>
      </c>
    </row>
    <row r="31" spans="1:7" x14ac:dyDescent="0.25">
      <c r="A31">
        <v>24</v>
      </c>
      <c r="B31">
        <f t="shared" si="1"/>
        <v>1.24</v>
      </c>
      <c r="C31">
        <f t="shared" si="2"/>
        <v>32</v>
      </c>
      <c r="D31">
        <f t="shared" si="3"/>
        <v>59.03</v>
      </c>
      <c r="E31">
        <f t="shared" si="4"/>
        <v>15.459999999999999</v>
      </c>
      <c r="F31">
        <f t="shared" si="0"/>
        <v>0</v>
      </c>
      <c r="G31">
        <f t="shared" si="5"/>
        <v>65.5</v>
      </c>
    </row>
    <row r="32" spans="1:7" x14ac:dyDescent="0.25">
      <c r="A32">
        <v>25</v>
      </c>
      <c r="B32">
        <f t="shared" si="1"/>
        <v>1.19</v>
      </c>
      <c r="C32">
        <f t="shared" si="2"/>
        <v>30.5</v>
      </c>
      <c r="D32">
        <f t="shared" si="3"/>
        <v>60.47</v>
      </c>
      <c r="E32">
        <f t="shared" si="4"/>
        <v>16.899999999999999</v>
      </c>
      <c r="F32">
        <f t="shared" si="0"/>
        <v>0</v>
      </c>
      <c r="G32">
        <f t="shared" si="5"/>
        <v>62.5</v>
      </c>
    </row>
    <row r="33" spans="1:7" x14ac:dyDescent="0.25">
      <c r="A33">
        <v>26</v>
      </c>
      <c r="B33">
        <f t="shared" si="1"/>
        <v>1.1399999999999999</v>
      </c>
      <c r="C33">
        <f t="shared" si="2"/>
        <v>29.2</v>
      </c>
      <c r="D33">
        <f t="shared" si="3"/>
        <v>61.86</v>
      </c>
      <c r="E33">
        <f t="shared" si="4"/>
        <v>18.29</v>
      </c>
      <c r="F33">
        <f t="shared" si="0"/>
        <v>0</v>
      </c>
      <c r="G33">
        <f t="shared" si="5"/>
        <v>59.7</v>
      </c>
    </row>
    <row r="34" spans="1:7" x14ac:dyDescent="0.25">
      <c r="A34">
        <v>27</v>
      </c>
      <c r="B34">
        <f t="shared" si="1"/>
        <v>1.1000000000000001</v>
      </c>
      <c r="C34">
        <f t="shared" si="2"/>
        <v>27.9</v>
      </c>
      <c r="D34">
        <f t="shared" si="3"/>
        <v>63.21</v>
      </c>
      <c r="E34">
        <f t="shared" si="4"/>
        <v>19.64</v>
      </c>
      <c r="F34">
        <f t="shared" si="0"/>
        <v>0</v>
      </c>
      <c r="G34">
        <f t="shared" si="5"/>
        <v>57.099999999999994</v>
      </c>
    </row>
    <row r="35" spans="1:7" x14ac:dyDescent="0.25">
      <c r="A35">
        <v>28</v>
      </c>
      <c r="B35">
        <f t="shared" si="1"/>
        <v>1.05</v>
      </c>
      <c r="C35">
        <f t="shared" si="2"/>
        <v>26.6</v>
      </c>
      <c r="D35">
        <f t="shared" si="3"/>
        <v>64.510000000000005</v>
      </c>
      <c r="E35">
        <f t="shared" si="4"/>
        <v>20.94</v>
      </c>
      <c r="F35">
        <f t="shared" si="0"/>
        <v>0</v>
      </c>
      <c r="G35">
        <f t="shared" si="5"/>
        <v>54.5</v>
      </c>
    </row>
    <row r="36" spans="1:7" x14ac:dyDescent="0.25">
      <c r="A36">
        <v>29</v>
      </c>
      <c r="B36">
        <f t="shared" si="1"/>
        <v>1.01</v>
      </c>
      <c r="C36">
        <f t="shared" si="2"/>
        <v>25.5</v>
      </c>
      <c r="D36">
        <f t="shared" si="3"/>
        <v>65.77000000000001</v>
      </c>
      <c r="E36">
        <f t="shared" si="4"/>
        <v>22.200000000000003</v>
      </c>
      <c r="F36">
        <f t="shared" si="0"/>
        <v>0</v>
      </c>
      <c r="G36">
        <f t="shared" si="5"/>
        <v>52.1</v>
      </c>
    </row>
    <row r="37" spans="1:7" x14ac:dyDescent="0.25">
      <c r="A37">
        <v>30</v>
      </c>
      <c r="B37">
        <f t="shared" si="1"/>
        <v>0.97</v>
      </c>
      <c r="C37">
        <f t="shared" si="2"/>
        <v>24.4</v>
      </c>
      <c r="D37">
        <f t="shared" si="3"/>
        <v>66.990000000000009</v>
      </c>
      <c r="E37">
        <f t="shared" si="4"/>
        <v>1.22</v>
      </c>
      <c r="F37">
        <f t="shared" si="0"/>
        <v>2.1</v>
      </c>
      <c r="G37">
        <f t="shared" si="5"/>
        <v>49.9</v>
      </c>
    </row>
    <row r="38" spans="1:7" x14ac:dyDescent="0.25">
      <c r="A38">
        <v>31</v>
      </c>
      <c r="B38">
        <f t="shared" si="1"/>
        <v>0.93</v>
      </c>
      <c r="C38">
        <f t="shared" si="2"/>
        <v>23.4</v>
      </c>
      <c r="D38">
        <f t="shared" si="3"/>
        <v>68.170000000000016</v>
      </c>
      <c r="E38">
        <f t="shared" si="4"/>
        <v>2.4</v>
      </c>
      <c r="F38">
        <f t="shared" si="0"/>
        <v>1.03</v>
      </c>
      <c r="G38">
        <f t="shared" si="5"/>
        <v>47.8</v>
      </c>
    </row>
  </sheetData>
  <conditionalFormatting sqref="E7:E68">
    <cfRule type="cellIs" dxfId="1" priority="1" operator="lessThan">
      <formula>6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Master</vt:lpstr>
      <vt:lpstr>1' Wide</vt:lpstr>
      <vt:lpstr>2' Wide</vt:lpstr>
      <vt:lpstr>2.66' Wide</vt:lpstr>
      <vt:lpstr>4' Wide</vt:lpstr>
      <vt:lpstr>4' Narrow</vt:lpstr>
      <vt:lpstr>4' Narrow Extended</vt:lpstr>
      <vt:lpstr>8' Wide</vt:lpstr>
      <vt:lpstr>8' Narrow</vt:lpstr>
      <vt:lpstr>8' Narrow Extended</vt:lpstr>
      <vt:lpstr>8' Wide Pedal</vt:lpstr>
      <vt:lpstr>8' Wide Pedal Extended</vt:lpstr>
      <vt:lpstr>8' Narrow Pedal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Horn</dc:creator>
  <cp:lastModifiedBy>Daniel Horn</cp:lastModifiedBy>
  <dcterms:created xsi:type="dcterms:W3CDTF">2026-03-05T16:38:44Z</dcterms:created>
  <dcterms:modified xsi:type="dcterms:W3CDTF">2026-03-07T02:01:43Z</dcterms:modified>
</cp:coreProperties>
</file>