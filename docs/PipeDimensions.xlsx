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organ\docs\"/>
    </mc:Choice>
  </mc:AlternateContent>
  <xr:revisionPtr revIDLastSave="0" documentId="13_ncr:1_{15199CF5-F399-493F-BF18-A883C16282C5}" xr6:coauthVersionLast="47" xr6:coauthVersionMax="47" xr10:uidLastSave="{00000000-0000-0000-0000-000000000000}"/>
  <bookViews>
    <workbookView xWindow="20175" yWindow="6960" windowWidth="33330" windowHeight="23385" xr2:uid="{B2B28161-BA18-4FDD-93BC-6DFBB4B94DE8}"/>
  </bookViews>
  <sheets>
    <sheet name="4' Wi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5" i="1"/>
  <c r="G16" i="1"/>
  <c r="G17" i="1"/>
  <c r="G18" i="1"/>
  <c r="G28" i="1"/>
  <c r="G38" i="1"/>
  <c r="G39" i="1"/>
  <c r="G40" i="1"/>
  <c r="G41" i="1"/>
  <c r="G42" i="1"/>
  <c r="F13" i="1"/>
  <c r="F14" i="1"/>
  <c r="F15" i="1"/>
  <c r="F16" i="1"/>
  <c r="F17" i="1"/>
  <c r="F20" i="1"/>
  <c r="F21" i="1"/>
  <c r="F22" i="1"/>
  <c r="F23" i="1"/>
  <c r="F24" i="1"/>
  <c r="C8" i="1"/>
  <c r="F8" i="1" s="1"/>
  <c r="C9" i="1"/>
  <c r="G9" i="1" s="1"/>
  <c r="C13" i="1"/>
  <c r="C14" i="1"/>
  <c r="C15" i="1"/>
  <c r="C16" i="1"/>
  <c r="C17" i="1"/>
  <c r="C18" i="1"/>
  <c r="F18" i="1" s="1"/>
  <c r="C19" i="1"/>
  <c r="F19" i="1" s="1"/>
  <c r="C20" i="1"/>
  <c r="G20" i="1" s="1"/>
  <c r="C21" i="1"/>
  <c r="G21" i="1" s="1"/>
  <c r="C22" i="1"/>
  <c r="G22" i="1" s="1"/>
  <c r="C23" i="1"/>
  <c r="G23" i="1" s="1"/>
  <c r="C24" i="1"/>
  <c r="G24" i="1" s="1"/>
  <c r="C25" i="1"/>
  <c r="F25" i="1" s="1"/>
  <c r="C26" i="1"/>
  <c r="F26" i="1" s="1"/>
  <c r="C27" i="1"/>
  <c r="F27" i="1" s="1"/>
  <c r="C28" i="1"/>
  <c r="F28" i="1" s="1"/>
  <c r="C29" i="1"/>
  <c r="F29" i="1" s="1"/>
  <c r="C30" i="1"/>
  <c r="F30" i="1" s="1"/>
  <c r="C31" i="1"/>
  <c r="F31" i="1" s="1"/>
  <c r="C32" i="1"/>
  <c r="F32" i="1" s="1"/>
  <c r="C33" i="1"/>
  <c r="G33" i="1" s="1"/>
  <c r="C37" i="1"/>
  <c r="C38" i="1"/>
  <c r="C39" i="1"/>
  <c r="C40" i="1"/>
  <c r="C41" i="1"/>
  <c r="C42" i="1"/>
  <c r="C43" i="1"/>
  <c r="C44" i="1"/>
  <c r="G44" i="1" s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61" i="1"/>
  <c r="C62" i="1"/>
  <c r="C63" i="1"/>
  <c r="C64" i="1"/>
  <c r="C65" i="1"/>
  <c r="C66" i="1"/>
  <c r="C67" i="1"/>
  <c r="C68" i="1"/>
  <c r="C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7" i="1"/>
  <c r="B5" i="1"/>
  <c r="C10" i="1" s="1"/>
  <c r="G10" i="1" l="1"/>
  <c r="F10" i="1"/>
  <c r="G32" i="1"/>
  <c r="G31" i="1"/>
  <c r="G30" i="1"/>
  <c r="G29" i="1"/>
  <c r="F33" i="1"/>
  <c r="F9" i="1"/>
  <c r="E8" i="1"/>
  <c r="G27" i="1"/>
  <c r="G26" i="1"/>
  <c r="G25" i="1"/>
  <c r="E9" i="1"/>
  <c r="E10" i="1" s="1"/>
  <c r="C60" i="1"/>
  <c r="C36" i="1"/>
  <c r="C12" i="1"/>
  <c r="G8" i="1"/>
  <c r="C59" i="1"/>
  <c r="C35" i="1"/>
  <c r="C11" i="1"/>
  <c r="C58" i="1"/>
  <c r="C34" i="1"/>
  <c r="G43" i="1"/>
  <c r="G19" i="1"/>
  <c r="F7" i="1"/>
  <c r="E7" i="1"/>
  <c r="D7" i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G35" i="1" l="1"/>
  <c r="G12" i="1"/>
  <c r="F12" i="1"/>
  <c r="G36" i="1"/>
  <c r="G37" i="1"/>
  <c r="G34" i="1"/>
  <c r="F34" i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G11" i="1"/>
  <c r="F11" i="1"/>
  <c r="E11" i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G13" i="1"/>
</calcChain>
</file>

<file path=xl/sharedStrings.xml><?xml version="1.0" encoding="utf-8"?>
<sst xmlns="http://schemas.openxmlformats.org/spreadsheetml/2006/main" count="14" uniqueCount="14">
  <si>
    <t>toe</t>
  </si>
  <si>
    <t>total_length</t>
  </si>
  <si>
    <t>Pipe number</t>
  </si>
  <si>
    <t>pipe0-diameter</t>
  </si>
  <si>
    <t>diameter</t>
  </si>
  <si>
    <t>variable_length</t>
  </si>
  <si>
    <t>length</t>
  </si>
  <si>
    <t>padding</t>
  </si>
  <si>
    <t>cumulative_width</t>
  </si>
  <si>
    <t>max_length</t>
  </si>
  <si>
    <t>small_pipes_cumulative_width</t>
  </si>
  <si>
    <t>small_pipe</t>
  </si>
  <si>
    <t>tray_width</t>
  </si>
  <si>
    <t>flip_length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</si>
</sst>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FF757-3F67-4485-A3C9-668444DD036A}">
  <dimension ref="A2:G68"/>
  <sheetViews>
    <sheetView tabSelected="1" topLeftCell="A4" workbookViewId="0">
      <selection activeCell="J7" sqref="J7"/>
    </sheetView>
  </sheetViews>
  <sheetFormatPr defaultRowHeight="15" x14ac:dyDescent="0.25"/>
  <cols>
    <col min="1" max="1" width="15.28515625" customWidth="1"/>
  </cols>
  <sheetData>
    <row r="2" spans="1:7" x14ac:dyDescent="0.25">
      <c r="A2" t="s">
        <v>3</v>
      </c>
      <c r="B2">
        <v>4</v>
      </c>
      <c r="C2" t="s">
        <v>7</v>
      </c>
      <c r="D2">
        <v>0.25</v>
      </c>
    </row>
    <row r="3" spans="1:7" x14ac:dyDescent="0.25">
      <c r="A3" t="s">
        <v>0</v>
      </c>
      <c r="B3">
        <v>6</v>
      </c>
      <c r="C3" t="s">
        <v>9</v>
      </c>
      <c r="D3">
        <v>78</v>
      </c>
    </row>
    <row r="4" spans="1:7" x14ac:dyDescent="0.25">
      <c r="A4" t="s">
        <v>1</v>
      </c>
      <c r="B4">
        <v>56</v>
      </c>
      <c r="C4" t="s">
        <v>11</v>
      </c>
      <c r="D4">
        <v>18</v>
      </c>
    </row>
    <row r="5" spans="1:7" x14ac:dyDescent="0.25">
      <c r="A5" t="s">
        <v>5</v>
      </c>
      <c r="B5">
        <f>B4-B3</f>
        <v>50</v>
      </c>
      <c r="C5" t="s">
        <v>12</v>
      </c>
      <c r="D5">
        <v>23</v>
      </c>
    </row>
    <row r="6" spans="1:7" x14ac:dyDescent="0.25">
      <c r="A6" t="s">
        <v>2</v>
      </c>
      <c r="B6" t="s">
        <v>4</v>
      </c>
      <c r="C6" t="s">
        <v>6</v>
      </c>
      <c r="D6" t="s">
        <v>8</v>
      </c>
      <c r="F6" t="s">
        <v>10</v>
      </c>
      <c r="G6" t="s">
        <v>13</v>
      </c>
    </row>
    <row r="7" spans="1:7" x14ac:dyDescent="0.25">
      <c r="A7">
        <v>0</v>
      </c>
      <c r="B7">
        <f>ROUND($B$2*POWER(2,-A7/17),2)</f>
        <v>4</v>
      </c>
      <c r="C7">
        <f>ROUND($B$3+$B$5*POWER(2,-A7/12),1)</f>
        <v>56</v>
      </c>
      <c r="D7">
        <f>B7+$D$2</f>
        <v>4.25</v>
      </c>
      <c r="E7">
        <f>IF(C7 &gt; $D$3, 0, B7+$D$2)</f>
        <v>4.25</v>
      </c>
      <c r="F7">
        <f>IF(C8 &gt; $D$4, 0, B7+$D$2)</f>
        <v>0</v>
      </c>
    </row>
    <row r="8" spans="1:7" x14ac:dyDescent="0.25">
      <c r="A8">
        <v>1</v>
      </c>
      <c r="B8">
        <f t="shared" ref="B8:B68" si="0">ROUND($B$2*POWER(2,-A8/17),2)</f>
        <v>3.84</v>
      </c>
      <c r="C8">
        <f t="shared" ref="C8:C68" si="1">ROUND($B$3+$B$5*POWER(2,-A8/12),1)</f>
        <v>53.2</v>
      </c>
      <c r="D8">
        <f>D7+B8+$D$2</f>
        <v>8.34</v>
      </c>
      <c r="E8">
        <f>IF(C8 &gt; $D$3, 0, IF(E7+B8+$D$2 &gt; $D$5, B8+$D$2, E7+B8+$D$2))</f>
        <v>8.34</v>
      </c>
      <c r="F8">
        <f>IF(C8 &gt; $D$4, 0, F7+B8+$D$2)</f>
        <v>0</v>
      </c>
      <c r="G8">
        <f>C8+C7</f>
        <v>109.2</v>
      </c>
    </row>
    <row r="9" spans="1:7" x14ac:dyDescent="0.25">
      <c r="A9">
        <v>2</v>
      </c>
      <c r="B9">
        <f t="shared" si="0"/>
        <v>3.69</v>
      </c>
      <c r="C9">
        <f t="shared" si="1"/>
        <v>50.5</v>
      </c>
      <c r="D9">
        <f t="shared" ref="D9:D68" si="2">D8+B9+$D$2</f>
        <v>12.28</v>
      </c>
      <c r="E9">
        <f t="shared" ref="E9:E68" si="3">IF(C9 &gt; $D$3, 0, IF(E8+B9+$D$2 &gt; $D$5, B9+$D$2, E8+B9+$D$2))</f>
        <v>12.28</v>
      </c>
      <c r="F9">
        <f t="shared" ref="F9:F68" si="4">IF(C9 &gt; $D$4, 0, F8+B9+$D$2)</f>
        <v>0</v>
      </c>
      <c r="G9">
        <f t="shared" ref="G9:G44" si="5">C9+C8</f>
        <v>103.7</v>
      </c>
    </row>
    <row r="10" spans="1:7" x14ac:dyDescent="0.25">
      <c r="A10">
        <v>3</v>
      </c>
      <c r="B10">
        <f t="shared" si="0"/>
        <v>3.54</v>
      </c>
      <c r="C10">
        <f t="shared" si="1"/>
        <v>48</v>
      </c>
      <c r="D10">
        <f t="shared" si="2"/>
        <v>16.07</v>
      </c>
      <c r="E10">
        <f t="shared" si="3"/>
        <v>16.07</v>
      </c>
      <c r="F10">
        <f t="shared" si="4"/>
        <v>0</v>
      </c>
      <c r="G10">
        <f t="shared" si="5"/>
        <v>98.5</v>
      </c>
    </row>
    <row r="11" spans="1:7" x14ac:dyDescent="0.25">
      <c r="A11">
        <v>4</v>
      </c>
      <c r="B11">
        <f t="shared" si="0"/>
        <v>3.4</v>
      </c>
      <c r="C11">
        <f t="shared" si="1"/>
        <v>45.7</v>
      </c>
      <c r="D11">
        <f t="shared" si="2"/>
        <v>19.72</v>
      </c>
      <c r="E11">
        <f t="shared" si="3"/>
        <v>19.72</v>
      </c>
      <c r="F11">
        <f t="shared" si="4"/>
        <v>0</v>
      </c>
      <c r="G11">
        <f t="shared" si="5"/>
        <v>93.7</v>
      </c>
    </row>
    <row r="12" spans="1:7" x14ac:dyDescent="0.25">
      <c r="A12">
        <v>5</v>
      </c>
      <c r="B12">
        <f t="shared" si="0"/>
        <v>3.26</v>
      </c>
      <c r="C12">
        <f t="shared" si="1"/>
        <v>43.5</v>
      </c>
      <c r="D12">
        <f t="shared" si="2"/>
        <v>23.229999999999997</v>
      </c>
      <c r="E12">
        <f t="shared" si="3"/>
        <v>3.51</v>
      </c>
      <c r="F12">
        <f t="shared" si="4"/>
        <v>0</v>
      </c>
      <c r="G12">
        <f t="shared" si="5"/>
        <v>89.2</v>
      </c>
    </row>
    <row r="13" spans="1:7" x14ac:dyDescent="0.25">
      <c r="A13">
        <v>6</v>
      </c>
      <c r="B13">
        <f t="shared" si="0"/>
        <v>3.13</v>
      </c>
      <c r="C13">
        <f t="shared" si="1"/>
        <v>41.4</v>
      </c>
      <c r="D13">
        <f t="shared" si="2"/>
        <v>26.609999999999996</v>
      </c>
      <c r="E13">
        <f t="shared" si="3"/>
        <v>6.89</v>
      </c>
      <c r="F13">
        <f t="shared" si="4"/>
        <v>0</v>
      </c>
      <c r="G13">
        <f t="shared" si="5"/>
        <v>84.9</v>
      </c>
    </row>
    <row r="14" spans="1:7" x14ac:dyDescent="0.25">
      <c r="A14">
        <v>7</v>
      </c>
      <c r="B14">
        <f t="shared" si="0"/>
        <v>3.01</v>
      </c>
      <c r="C14">
        <f t="shared" si="1"/>
        <v>39.4</v>
      </c>
      <c r="D14">
        <f t="shared" si="2"/>
        <v>29.869999999999997</v>
      </c>
      <c r="E14">
        <f t="shared" si="3"/>
        <v>10.149999999999999</v>
      </c>
      <c r="F14">
        <f t="shared" si="4"/>
        <v>0</v>
      </c>
      <c r="G14">
        <f t="shared" si="5"/>
        <v>80.8</v>
      </c>
    </row>
    <row r="15" spans="1:7" x14ac:dyDescent="0.25">
      <c r="A15">
        <v>8</v>
      </c>
      <c r="B15">
        <f t="shared" si="0"/>
        <v>2.89</v>
      </c>
      <c r="C15">
        <f t="shared" si="1"/>
        <v>37.5</v>
      </c>
      <c r="D15">
        <f t="shared" si="2"/>
        <v>33.01</v>
      </c>
      <c r="E15">
        <f t="shared" si="3"/>
        <v>13.29</v>
      </c>
      <c r="F15">
        <f t="shared" si="4"/>
        <v>0</v>
      </c>
      <c r="G15">
        <f t="shared" si="5"/>
        <v>76.900000000000006</v>
      </c>
    </row>
    <row r="16" spans="1:7" x14ac:dyDescent="0.25">
      <c r="A16">
        <v>9</v>
      </c>
      <c r="B16">
        <f t="shared" si="0"/>
        <v>2.77</v>
      </c>
      <c r="C16">
        <f t="shared" si="1"/>
        <v>35.700000000000003</v>
      </c>
      <c r="D16">
        <f t="shared" si="2"/>
        <v>36.03</v>
      </c>
      <c r="E16">
        <f t="shared" si="3"/>
        <v>16.309999999999999</v>
      </c>
      <c r="F16">
        <f t="shared" si="4"/>
        <v>0</v>
      </c>
      <c r="G16">
        <f t="shared" si="5"/>
        <v>73.2</v>
      </c>
    </row>
    <row r="17" spans="1:7" x14ac:dyDescent="0.25">
      <c r="A17">
        <v>10</v>
      </c>
      <c r="B17">
        <f t="shared" si="0"/>
        <v>2.66</v>
      </c>
      <c r="C17">
        <f t="shared" si="1"/>
        <v>34.1</v>
      </c>
      <c r="D17">
        <f t="shared" si="2"/>
        <v>38.94</v>
      </c>
      <c r="E17">
        <f t="shared" si="3"/>
        <v>19.22</v>
      </c>
      <c r="F17">
        <f t="shared" si="4"/>
        <v>0</v>
      </c>
      <c r="G17">
        <f t="shared" si="5"/>
        <v>69.800000000000011</v>
      </c>
    </row>
    <row r="18" spans="1:7" x14ac:dyDescent="0.25">
      <c r="A18">
        <v>11</v>
      </c>
      <c r="B18">
        <f t="shared" si="0"/>
        <v>2.5499999999999998</v>
      </c>
      <c r="C18">
        <f t="shared" si="1"/>
        <v>32.5</v>
      </c>
      <c r="D18">
        <f t="shared" si="2"/>
        <v>41.739999999999995</v>
      </c>
      <c r="E18">
        <f t="shared" si="3"/>
        <v>22.02</v>
      </c>
      <c r="F18">
        <f t="shared" si="4"/>
        <v>0</v>
      </c>
      <c r="G18">
        <f t="shared" si="5"/>
        <v>66.599999999999994</v>
      </c>
    </row>
    <row r="19" spans="1:7" x14ac:dyDescent="0.25">
      <c r="A19">
        <v>12</v>
      </c>
      <c r="B19">
        <f t="shared" si="0"/>
        <v>2.4500000000000002</v>
      </c>
      <c r="C19">
        <f t="shared" si="1"/>
        <v>31</v>
      </c>
      <c r="D19">
        <f t="shared" si="2"/>
        <v>44.44</v>
      </c>
      <c r="E19">
        <f t="shared" si="3"/>
        <v>2.7</v>
      </c>
      <c r="F19">
        <f t="shared" si="4"/>
        <v>0</v>
      </c>
      <c r="G19">
        <f t="shared" si="5"/>
        <v>63.5</v>
      </c>
    </row>
    <row r="20" spans="1:7" x14ac:dyDescent="0.25">
      <c r="A20">
        <v>13</v>
      </c>
      <c r="B20">
        <f t="shared" si="0"/>
        <v>2.35</v>
      </c>
      <c r="C20">
        <f t="shared" si="1"/>
        <v>29.6</v>
      </c>
      <c r="D20">
        <f t="shared" si="2"/>
        <v>47.04</v>
      </c>
      <c r="E20">
        <f t="shared" si="3"/>
        <v>5.3000000000000007</v>
      </c>
      <c r="F20">
        <f t="shared" si="4"/>
        <v>0</v>
      </c>
      <c r="G20">
        <f t="shared" si="5"/>
        <v>60.6</v>
      </c>
    </row>
    <row r="21" spans="1:7" x14ac:dyDescent="0.25">
      <c r="A21">
        <v>14</v>
      </c>
      <c r="B21">
        <f t="shared" si="0"/>
        <v>2.2599999999999998</v>
      </c>
      <c r="C21">
        <f t="shared" si="1"/>
        <v>28.3</v>
      </c>
      <c r="D21">
        <f t="shared" si="2"/>
        <v>49.55</v>
      </c>
      <c r="E21">
        <f t="shared" si="3"/>
        <v>7.8100000000000005</v>
      </c>
      <c r="F21">
        <f t="shared" si="4"/>
        <v>0</v>
      </c>
      <c r="G21">
        <f t="shared" si="5"/>
        <v>57.900000000000006</v>
      </c>
    </row>
    <row r="22" spans="1:7" x14ac:dyDescent="0.25">
      <c r="A22">
        <v>15</v>
      </c>
      <c r="B22">
        <f t="shared" si="0"/>
        <v>2.17</v>
      </c>
      <c r="C22">
        <f t="shared" si="1"/>
        <v>27</v>
      </c>
      <c r="D22">
        <f t="shared" si="2"/>
        <v>51.97</v>
      </c>
      <c r="E22">
        <f t="shared" si="3"/>
        <v>10.23</v>
      </c>
      <c r="F22">
        <f t="shared" si="4"/>
        <v>0</v>
      </c>
      <c r="G22">
        <f t="shared" si="5"/>
        <v>55.3</v>
      </c>
    </row>
    <row r="23" spans="1:7" x14ac:dyDescent="0.25">
      <c r="A23">
        <v>16</v>
      </c>
      <c r="B23">
        <f t="shared" si="0"/>
        <v>2.08</v>
      </c>
      <c r="C23">
        <f t="shared" si="1"/>
        <v>25.8</v>
      </c>
      <c r="D23">
        <f t="shared" si="2"/>
        <v>54.3</v>
      </c>
      <c r="E23">
        <f t="shared" si="3"/>
        <v>12.56</v>
      </c>
      <c r="F23">
        <f t="shared" si="4"/>
        <v>0</v>
      </c>
      <c r="G23">
        <f t="shared" si="5"/>
        <v>52.8</v>
      </c>
    </row>
    <row r="24" spans="1:7" x14ac:dyDescent="0.25">
      <c r="A24">
        <v>17</v>
      </c>
      <c r="B24">
        <f t="shared" si="0"/>
        <v>2</v>
      </c>
      <c r="C24">
        <f t="shared" si="1"/>
        <v>24.7</v>
      </c>
      <c r="D24">
        <f t="shared" si="2"/>
        <v>56.55</v>
      </c>
      <c r="E24">
        <f t="shared" si="3"/>
        <v>14.81</v>
      </c>
      <c r="F24">
        <f t="shared" si="4"/>
        <v>0</v>
      </c>
      <c r="G24">
        <f t="shared" si="5"/>
        <v>50.5</v>
      </c>
    </row>
    <row r="25" spans="1:7" x14ac:dyDescent="0.25">
      <c r="A25">
        <v>18</v>
      </c>
      <c r="B25">
        <f t="shared" si="0"/>
        <v>1.92</v>
      </c>
      <c r="C25">
        <f t="shared" si="1"/>
        <v>23.7</v>
      </c>
      <c r="D25">
        <f t="shared" si="2"/>
        <v>58.72</v>
      </c>
      <c r="E25">
        <f t="shared" si="3"/>
        <v>16.98</v>
      </c>
      <c r="F25">
        <f t="shared" si="4"/>
        <v>0</v>
      </c>
      <c r="G25">
        <f t="shared" si="5"/>
        <v>48.4</v>
      </c>
    </row>
    <row r="26" spans="1:7" x14ac:dyDescent="0.25">
      <c r="A26">
        <v>19</v>
      </c>
      <c r="B26">
        <f t="shared" si="0"/>
        <v>1.84</v>
      </c>
      <c r="C26">
        <f t="shared" si="1"/>
        <v>22.7</v>
      </c>
      <c r="D26">
        <f t="shared" si="2"/>
        <v>60.81</v>
      </c>
      <c r="E26">
        <f t="shared" si="3"/>
        <v>19.07</v>
      </c>
      <c r="F26">
        <f t="shared" si="4"/>
        <v>0</v>
      </c>
      <c r="G26">
        <f t="shared" si="5"/>
        <v>46.4</v>
      </c>
    </row>
    <row r="27" spans="1:7" x14ac:dyDescent="0.25">
      <c r="A27">
        <v>20</v>
      </c>
      <c r="B27">
        <f t="shared" si="0"/>
        <v>1.77</v>
      </c>
      <c r="C27">
        <f t="shared" si="1"/>
        <v>21.7</v>
      </c>
      <c r="D27">
        <f t="shared" si="2"/>
        <v>62.830000000000005</v>
      </c>
      <c r="E27">
        <f t="shared" si="3"/>
        <v>21.09</v>
      </c>
      <c r="F27">
        <f t="shared" si="4"/>
        <v>0</v>
      </c>
      <c r="G27">
        <f t="shared" si="5"/>
        <v>44.4</v>
      </c>
    </row>
    <row r="28" spans="1:7" x14ac:dyDescent="0.25">
      <c r="A28">
        <v>21</v>
      </c>
      <c r="B28">
        <f t="shared" si="0"/>
        <v>1.7</v>
      </c>
      <c r="C28">
        <f t="shared" si="1"/>
        <v>20.9</v>
      </c>
      <c r="D28">
        <f t="shared" si="2"/>
        <v>64.78</v>
      </c>
      <c r="E28">
        <f t="shared" si="3"/>
        <v>1.95</v>
      </c>
      <c r="F28">
        <f t="shared" si="4"/>
        <v>0</v>
      </c>
      <c r="G28">
        <f t="shared" si="5"/>
        <v>42.599999999999994</v>
      </c>
    </row>
    <row r="29" spans="1:7" x14ac:dyDescent="0.25">
      <c r="A29">
        <v>22</v>
      </c>
      <c r="B29">
        <f t="shared" si="0"/>
        <v>1.63</v>
      </c>
      <c r="C29">
        <f t="shared" si="1"/>
        <v>20</v>
      </c>
      <c r="D29">
        <f t="shared" si="2"/>
        <v>66.66</v>
      </c>
      <c r="E29">
        <f t="shared" si="3"/>
        <v>3.83</v>
      </c>
      <c r="F29">
        <f t="shared" si="4"/>
        <v>0</v>
      </c>
      <c r="G29">
        <f t="shared" si="5"/>
        <v>40.9</v>
      </c>
    </row>
    <row r="30" spans="1:7" x14ac:dyDescent="0.25">
      <c r="A30">
        <v>23</v>
      </c>
      <c r="B30">
        <f t="shared" si="0"/>
        <v>1.57</v>
      </c>
      <c r="C30">
        <f t="shared" si="1"/>
        <v>19.2</v>
      </c>
      <c r="D30">
        <f t="shared" si="2"/>
        <v>68.47999999999999</v>
      </c>
      <c r="E30">
        <f t="shared" si="3"/>
        <v>5.65</v>
      </c>
      <c r="F30">
        <f t="shared" si="4"/>
        <v>0</v>
      </c>
      <c r="G30">
        <f t="shared" si="5"/>
        <v>39.200000000000003</v>
      </c>
    </row>
    <row r="31" spans="1:7" x14ac:dyDescent="0.25">
      <c r="A31">
        <v>24</v>
      </c>
      <c r="B31">
        <f t="shared" si="0"/>
        <v>1.5</v>
      </c>
      <c r="C31">
        <f t="shared" si="1"/>
        <v>18.5</v>
      </c>
      <c r="D31">
        <f t="shared" si="2"/>
        <v>70.22999999999999</v>
      </c>
      <c r="E31">
        <f t="shared" si="3"/>
        <v>7.4</v>
      </c>
      <c r="F31">
        <f t="shared" si="4"/>
        <v>0</v>
      </c>
      <c r="G31">
        <f t="shared" si="5"/>
        <v>37.700000000000003</v>
      </c>
    </row>
    <row r="32" spans="1:7" x14ac:dyDescent="0.25">
      <c r="A32">
        <v>25</v>
      </c>
      <c r="B32">
        <f t="shared" si="0"/>
        <v>1.44</v>
      </c>
      <c r="C32">
        <f t="shared" si="1"/>
        <v>17.8</v>
      </c>
      <c r="D32">
        <f t="shared" si="2"/>
        <v>71.919999999999987</v>
      </c>
      <c r="E32">
        <f t="shared" si="3"/>
        <v>9.09</v>
      </c>
      <c r="F32">
        <f t="shared" si="4"/>
        <v>1.69</v>
      </c>
      <c r="G32">
        <f t="shared" si="5"/>
        <v>36.299999999999997</v>
      </c>
    </row>
    <row r="33" spans="1:7" x14ac:dyDescent="0.25">
      <c r="A33">
        <v>26</v>
      </c>
      <c r="B33">
        <f t="shared" si="0"/>
        <v>1.39</v>
      </c>
      <c r="C33">
        <f t="shared" si="1"/>
        <v>17.100000000000001</v>
      </c>
      <c r="D33">
        <f t="shared" si="2"/>
        <v>73.559999999999988</v>
      </c>
      <c r="E33">
        <f t="shared" si="3"/>
        <v>10.73</v>
      </c>
      <c r="F33">
        <f t="shared" si="4"/>
        <v>3.33</v>
      </c>
      <c r="G33">
        <f t="shared" si="5"/>
        <v>34.900000000000006</v>
      </c>
    </row>
    <row r="34" spans="1:7" x14ac:dyDescent="0.25">
      <c r="A34">
        <v>27</v>
      </c>
      <c r="B34">
        <f t="shared" si="0"/>
        <v>1.33</v>
      </c>
      <c r="C34">
        <f t="shared" si="1"/>
        <v>16.5</v>
      </c>
      <c r="D34">
        <f t="shared" si="2"/>
        <v>75.139999999999986</v>
      </c>
      <c r="E34">
        <f t="shared" si="3"/>
        <v>12.31</v>
      </c>
      <c r="F34">
        <f t="shared" si="4"/>
        <v>4.91</v>
      </c>
      <c r="G34">
        <f t="shared" si="5"/>
        <v>33.6</v>
      </c>
    </row>
    <row r="35" spans="1:7" x14ac:dyDescent="0.25">
      <c r="A35">
        <v>28</v>
      </c>
      <c r="B35">
        <f t="shared" si="0"/>
        <v>1.28</v>
      </c>
      <c r="C35">
        <f t="shared" si="1"/>
        <v>15.9</v>
      </c>
      <c r="D35">
        <f t="shared" si="2"/>
        <v>76.669999999999987</v>
      </c>
      <c r="E35">
        <f t="shared" si="3"/>
        <v>13.84</v>
      </c>
      <c r="F35">
        <f t="shared" si="4"/>
        <v>6.44</v>
      </c>
      <c r="G35">
        <f t="shared" si="5"/>
        <v>32.4</v>
      </c>
    </row>
    <row r="36" spans="1:7" x14ac:dyDescent="0.25">
      <c r="A36">
        <v>29</v>
      </c>
      <c r="B36">
        <f t="shared" si="0"/>
        <v>1.23</v>
      </c>
      <c r="C36">
        <f t="shared" si="1"/>
        <v>15.4</v>
      </c>
      <c r="D36">
        <f t="shared" si="2"/>
        <v>78.149999999999991</v>
      </c>
      <c r="E36">
        <f t="shared" si="3"/>
        <v>15.32</v>
      </c>
      <c r="F36">
        <f t="shared" si="4"/>
        <v>7.92</v>
      </c>
      <c r="G36">
        <f t="shared" si="5"/>
        <v>31.3</v>
      </c>
    </row>
    <row r="37" spans="1:7" x14ac:dyDescent="0.25">
      <c r="A37">
        <v>30</v>
      </c>
      <c r="B37">
        <f t="shared" si="0"/>
        <v>1.18</v>
      </c>
      <c r="C37">
        <f t="shared" si="1"/>
        <v>14.8</v>
      </c>
      <c r="D37">
        <f t="shared" si="2"/>
        <v>79.58</v>
      </c>
      <c r="E37">
        <f t="shared" si="3"/>
        <v>16.75</v>
      </c>
      <c r="F37">
        <f t="shared" si="4"/>
        <v>9.35</v>
      </c>
      <c r="G37">
        <f t="shared" si="5"/>
        <v>30.200000000000003</v>
      </c>
    </row>
    <row r="38" spans="1:7" x14ac:dyDescent="0.25">
      <c r="A38">
        <v>31</v>
      </c>
      <c r="B38">
        <f t="shared" si="0"/>
        <v>1.1299999999999999</v>
      </c>
      <c r="C38">
        <f t="shared" si="1"/>
        <v>14.3</v>
      </c>
      <c r="D38">
        <f t="shared" si="2"/>
        <v>80.959999999999994</v>
      </c>
      <c r="E38">
        <f t="shared" si="3"/>
        <v>18.13</v>
      </c>
      <c r="F38">
        <f t="shared" si="4"/>
        <v>10.73</v>
      </c>
      <c r="G38">
        <f t="shared" si="5"/>
        <v>29.1</v>
      </c>
    </row>
    <row r="39" spans="1:7" x14ac:dyDescent="0.25">
      <c r="A39">
        <v>32</v>
      </c>
      <c r="B39">
        <f t="shared" si="0"/>
        <v>1.08</v>
      </c>
      <c r="C39">
        <f t="shared" si="1"/>
        <v>13.9</v>
      </c>
      <c r="D39">
        <f t="shared" si="2"/>
        <v>82.289999999999992</v>
      </c>
      <c r="E39">
        <f t="shared" si="3"/>
        <v>19.46</v>
      </c>
      <c r="F39">
        <f t="shared" si="4"/>
        <v>12.06</v>
      </c>
      <c r="G39">
        <f t="shared" si="5"/>
        <v>28.200000000000003</v>
      </c>
    </row>
    <row r="40" spans="1:7" x14ac:dyDescent="0.25">
      <c r="A40">
        <v>33</v>
      </c>
      <c r="B40">
        <f t="shared" si="0"/>
        <v>1.04</v>
      </c>
      <c r="C40">
        <f t="shared" si="1"/>
        <v>13.4</v>
      </c>
      <c r="D40">
        <f t="shared" si="2"/>
        <v>83.58</v>
      </c>
      <c r="E40">
        <f t="shared" si="3"/>
        <v>20.75</v>
      </c>
      <c r="F40">
        <f t="shared" si="4"/>
        <v>13.350000000000001</v>
      </c>
      <c r="G40">
        <f t="shared" si="5"/>
        <v>27.3</v>
      </c>
    </row>
    <row r="41" spans="1:7" x14ac:dyDescent="0.25">
      <c r="A41">
        <v>34</v>
      </c>
      <c r="B41">
        <f t="shared" si="0"/>
        <v>1</v>
      </c>
      <c r="C41">
        <f t="shared" si="1"/>
        <v>13</v>
      </c>
      <c r="D41">
        <f t="shared" si="2"/>
        <v>84.83</v>
      </c>
      <c r="E41">
        <f t="shared" si="3"/>
        <v>22</v>
      </c>
      <c r="F41">
        <f t="shared" si="4"/>
        <v>14.600000000000001</v>
      </c>
      <c r="G41">
        <f t="shared" si="5"/>
        <v>26.4</v>
      </c>
    </row>
    <row r="42" spans="1:7" x14ac:dyDescent="0.25">
      <c r="A42">
        <v>35</v>
      </c>
      <c r="B42">
        <f t="shared" si="0"/>
        <v>0.96</v>
      </c>
      <c r="C42">
        <f t="shared" si="1"/>
        <v>12.6</v>
      </c>
      <c r="D42">
        <f t="shared" si="2"/>
        <v>86.039999999999992</v>
      </c>
      <c r="E42">
        <f t="shared" si="3"/>
        <v>1.21</v>
      </c>
      <c r="F42">
        <f t="shared" si="4"/>
        <v>15.810000000000002</v>
      </c>
      <c r="G42">
        <f t="shared" si="5"/>
        <v>25.6</v>
      </c>
    </row>
    <row r="43" spans="1:7" x14ac:dyDescent="0.25">
      <c r="A43">
        <v>36</v>
      </c>
      <c r="B43">
        <f t="shared" si="0"/>
        <v>0.92</v>
      </c>
      <c r="C43">
        <f t="shared" si="1"/>
        <v>12.3</v>
      </c>
      <c r="D43">
        <f t="shared" si="2"/>
        <v>87.21</v>
      </c>
      <c r="E43">
        <f t="shared" si="3"/>
        <v>2.38</v>
      </c>
      <c r="F43">
        <f t="shared" si="4"/>
        <v>16.980000000000004</v>
      </c>
      <c r="G43">
        <f t="shared" si="5"/>
        <v>24.9</v>
      </c>
    </row>
    <row r="44" spans="1:7" x14ac:dyDescent="0.25">
      <c r="A44">
        <v>37</v>
      </c>
      <c r="B44">
        <f t="shared" si="0"/>
        <v>0.88</v>
      </c>
      <c r="C44">
        <f t="shared" si="1"/>
        <v>11.9</v>
      </c>
      <c r="D44">
        <f t="shared" si="2"/>
        <v>88.339999999999989</v>
      </c>
      <c r="E44">
        <f t="shared" si="3"/>
        <v>3.51</v>
      </c>
      <c r="F44">
        <f t="shared" si="4"/>
        <v>18.110000000000003</v>
      </c>
      <c r="G44">
        <f t="shared" si="5"/>
        <v>24.200000000000003</v>
      </c>
    </row>
    <row r="45" spans="1:7" x14ac:dyDescent="0.25">
      <c r="A45">
        <v>38</v>
      </c>
      <c r="B45">
        <f t="shared" si="0"/>
        <v>0.85</v>
      </c>
      <c r="C45">
        <f t="shared" si="1"/>
        <v>11.6</v>
      </c>
      <c r="D45">
        <f t="shared" si="2"/>
        <v>89.439999999999984</v>
      </c>
      <c r="E45">
        <f t="shared" si="3"/>
        <v>4.6099999999999994</v>
      </c>
      <c r="F45">
        <f t="shared" si="4"/>
        <v>19.210000000000004</v>
      </c>
    </row>
    <row r="46" spans="1:7" x14ac:dyDescent="0.25">
      <c r="A46">
        <v>39</v>
      </c>
      <c r="B46">
        <f t="shared" si="0"/>
        <v>0.82</v>
      </c>
      <c r="C46">
        <f t="shared" si="1"/>
        <v>11.3</v>
      </c>
      <c r="D46">
        <f t="shared" si="2"/>
        <v>90.509999999999977</v>
      </c>
      <c r="E46">
        <f t="shared" si="3"/>
        <v>5.68</v>
      </c>
      <c r="F46">
        <f t="shared" si="4"/>
        <v>20.280000000000005</v>
      </c>
    </row>
    <row r="47" spans="1:7" x14ac:dyDescent="0.25">
      <c r="A47">
        <v>40</v>
      </c>
      <c r="B47">
        <f t="shared" si="0"/>
        <v>0.78</v>
      </c>
      <c r="C47">
        <f t="shared" si="1"/>
        <v>11</v>
      </c>
      <c r="D47">
        <f t="shared" si="2"/>
        <v>91.539999999999978</v>
      </c>
      <c r="E47">
        <f t="shared" si="3"/>
        <v>6.71</v>
      </c>
      <c r="F47">
        <f t="shared" si="4"/>
        <v>21.310000000000006</v>
      </c>
    </row>
    <row r="48" spans="1:7" x14ac:dyDescent="0.25">
      <c r="A48">
        <v>41</v>
      </c>
      <c r="B48">
        <f t="shared" si="0"/>
        <v>0.75</v>
      </c>
      <c r="C48">
        <f t="shared" si="1"/>
        <v>10.7</v>
      </c>
      <c r="D48">
        <f t="shared" si="2"/>
        <v>92.539999999999978</v>
      </c>
      <c r="E48">
        <f t="shared" si="3"/>
        <v>7.71</v>
      </c>
      <c r="F48">
        <f t="shared" si="4"/>
        <v>22.310000000000006</v>
      </c>
    </row>
    <row r="49" spans="1:6" x14ac:dyDescent="0.25">
      <c r="A49">
        <v>42</v>
      </c>
      <c r="B49">
        <f t="shared" si="0"/>
        <v>0.72</v>
      </c>
      <c r="C49">
        <f t="shared" si="1"/>
        <v>10.4</v>
      </c>
      <c r="D49">
        <f t="shared" si="2"/>
        <v>93.509999999999977</v>
      </c>
      <c r="E49">
        <f t="shared" si="3"/>
        <v>8.68</v>
      </c>
      <c r="F49">
        <f t="shared" si="4"/>
        <v>23.280000000000005</v>
      </c>
    </row>
    <row r="50" spans="1:6" x14ac:dyDescent="0.25">
      <c r="A50">
        <v>43</v>
      </c>
      <c r="B50">
        <f t="shared" si="0"/>
        <v>0.69</v>
      </c>
      <c r="C50">
        <f t="shared" si="1"/>
        <v>10.199999999999999</v>
      </c>
      <c r="D50">
        <f t="shared" si="2"/>
        <v>94.449999999999974</v>
      </c>
      <c r="E50">
        <f t="shared" si="3"/>
        <v>9.6199999999999992</v>
      </c>
      <c r="F50">
        <f t="shared" si="4"/>
        <v>24.220000000000006</v>
      </c>
    </row>
    <row r="51" spans="1:6" x14ac:dyDescent="0.25">
      <c r="A51">
        <v>44</v>
      </c>
      <c r="B51">
        <f t="shared" si="0"/>
        <v>0.67</v>
      </c>
      <c r="C51">
        <f t="shared" si="1"/>
        <v>9.9</v>
      </c>
      <c r="D51">
        <f t="shared" si="2"/>
        <v>95.369999999999976</v>
      </c>
      <c r="E51">
        <f t="shared" si="3"/>
        <v>10.54</v>
      </c>
      <c r="F51">
        <f t="shared" si="4"/>
        <v>25.140000000000008</v>
      </c>
    </row>
    <row r="52" spans="1:6" x14ac:dyDescent="0.25">
      <c r="A52">
        <v>45</v>
      </c>
      <c r="B52">
        <f t="shared" si="0"/>
        <v>0.64</v>
      </c>
      <c r="C52">
        <f t="shared" si="1"/>
        <v>9.6999999999999993</v>
      </c>
      <c r="D52">
        <f t="shared" si="2"/>
        <v>96.259999999999977</v>
      </c>
      <c r="E52">
        <f t="shared" si="3"/>
        <v>11.43</v>
      </c>
      <c r="F52">
        <f t="shared" si="4"/>
        <v>26.030000000000008</v>
      </c>
    </row>
    <row r="53" spans="1:6" x14ac:dyDescent="0.25">
      <c r="A53">
        <v>46</v>
      </c>
      <c r="B53">
        <f t="shared" si="0"/>
        <v>0.61</v>
      </c>
      <c r="C53">
        <f t="shared" si="1"/>
        <v>9.5</v>
      </c>
      <c r="D53">
        <f t="shared" si="2"/>
        <v>97.119999999999976</v>
      </c>
      <c r="E53">
        <f t="shared" si="3"/>
        <v>12.29</v>
      </c>
      <c r="F53">
        <f t="shared" si="4"/>
        <v>26.890000000000008</v>
      </c>
    </row>
    <row r="54" spans="1:6" x14ac:dyDescent="0.25">
      <c r="A54">
        <v>47</v>
      </c>
      <c r="B54">
        <f t="shared" si="0"/>
        <v>0.59</v>
      </c>
      <c r="C54">
        <f t="shared" si="1"/>
        <v>9.3000000000000007</v>
      </c>
      <c r="D54">
        <f t="shared" si="2"/>
        <v>97.95999999999998</v>
      </c>
      <c r="E54">
        <f t="shared" si="3"/>
        <v>13.129999999999999</v>
      </c>
      <c r="F54">
        <f t="shared" si="4"/>
        <v>27.730000000000008</v>
      </c>
    </row>
    <row r="55" spans="1:6" x14ac:dyDescent="0.25">
      <c r="A55">
        <v>48</v>
      </c>
      <c r="B55">
        <f t="shared" si="0"/>
        <v>0.56999999999999995</v>
      </c>
      <c r="C55">
        <f t="shared" si="1"/>
        <v>9.1</v>
      </c>
      <c r="D55">
        <f t="shared" si="2"/>
        <v>98.779999999999973</v>
      </c>
      <c r="E55">
        <f t="shared" si="3"/>
        <v>13.95</v>
      </c>
      <c r="F55">
        <f t="shared" si="4"/>
        <v>28.550000000000008</v>
      </c>
    </row>
    <row r="56" spans="1:6" x14ac:dyDescent="0.25">
      <c r="A56">
        <v>49</v>
      </c>
      <c r="B56">
        <f t="shared" si="0"/>
        <v>0.54</v>
      </c>
      <c r="C56">
        <f t="shared" si="1"/>
        <v>8.9</v>
      </c>
      <c r="D56">
        <f t="shared" si="2"/>
        <v>99.569999999999979</v>
      </c>
      <c r="E56">
        <f t="shared" si="3"/>
        <v>14.739999999999998</v>
      </c>
      <c r="F56">
        <f t="shared" si="4"/>
        <v>29.340000000000007</v>
      </c>
    </row>
    <row r="57" spans="1:6" x14ac:dyDescent="0.25">
      <c r="A57">
        <v>50</v>
      </c>
      <c r="B57">
        <f t="shared" si="0"/>
        <v>0.52</v>
      </c>
      <c r="C57">
        <f t="shared" si="1"/>
        <v>8.8000000000000007</v>
      </c>
      <c r="D57">
        <f t="shared" si="2"/>
        <v>100.33999999999997</v>
      </c>
      <c r="E57">
        <f t="shared" si="3"/>
        <v>15.509999999999998</v>
      </c>
      <c r="F57">
        <f t="shared" si="4"/>
        <v>30.110000000000007</v>
      </c>
    </row>
    <row r="58" spans="1:6" x14ac:dyDescent="0.25">
      <c r="A58">
        <v>51</v>
      </c>
      <c r="B58">
        <f t="shared" si="0"/>
        <v>0.5</v>
      </c>
      <c r="C58">
        <f t="shared" si="1"/>
        <v>8.6</v>
      </c>
      <c r="D58">
        <f t="shared" si="2"/>
        <v>101.08999999999997</v>
      </c>
      <c r="E58">
        <f t="shared" si="3"/>
        <v>16.259999999999998</v>
      </c>
      <c r="F58">
        <f t="shared" si="4"/>
        <v>30.860000000000007</v>
      </c>
    </row>
    <row r="59" spans="1:6" x14ac:dyDescent="0.25">
      <c r="A59">
        <v>52</v>
      </c>
      <c r="B59">
        <f t="shared" si="0"/>
        <v>0.48</v>
      </c>
      <c r="C59">
        <f t="shared" si="1"/>
        <v>8.5</v>
      </c>
      <c r="D59">
        <f t="shared" si="2"/>
        <v>101.81999999999998</v>
      </c>
      <c r="E59">
        <f t="shared" si="3"/>
        <v>16.989999999999998</v>
      </c>
      <c r="F59">
        <f t="shared" si="4"/>
        <v>31.590000000000007</v>
      </c>
    </row>
    <row r="60" spans="1:6" x14ac:dyDescent="0.25">
      <c r="A60">
        <v>53</v>
      </c>
      <c r="B60">
        <f t="shared" si="0"/>
        <v>0.46</v>
      </c>
      <c r="C60">
        <f t="shared" si="1"/>
        <v>8.3000000000000007</v>
      </c>
      <c r="D60">
        <f t="shared" si="2"/>
        <v>102.52999999999997</v>
      </c>
      <c r="E60">
        <f t="shared" si="3"/>
        <v>17.7</v>
      </c>
      <c r="F60">
        <f t="shared" si="4"/>
        <v>32.300000000000004</v>
      </c>
    </row>
    <row r="61" spans="1:6" x14ac:dyDescent="0.25">
      <c r="A61">
        <v>54</v>
      </c>
      <c r="B61">
        <f t="shared" si="0"/>
        <v>0.44</v>
      </c>
      <c r="C61">
        <f t="shared" si="1"/>
        <v>8.1999999999999993</v>
      </c>
      <c r="D61">
        <f t="shared" si="2"/>
        <v>103.21999999999997</v>
      </c>
      <c r="E61">
        <f t="shared" si="3"/>
        <v>18.39</v>
      </c>
      <c r="F61">
        <f t="shared" si="4"/>
        <v>32.99</v>
      </c>
    </row>
    <row r="62" spans="1:6" x14ac:dyDescent="0.25">
      <c r="A62">
        <v>55</v>
      </c>
      <c r="B62">
        <f t="shared" si="0"/>
        <v>0.42</v>
      </c>
      <c r="C62">
        <f t="shared" si="1"/>
        <v>8.1</v>
      </c>
      <c r="D62">
        <f t="shared" si="2"/>
        <v>103.88999999999997</v>
      </c>
      <c r="E62">
        <f t="shared" si="3"/>
        <v>19.060000000000002</v>
      </c>
      <c r="F62">
        <f t="shared" si="4"/>
        <v>33.660000000000004</v>
      </c>
    </row>
    <row r="63" spans="1:6" x14ac:dyDescent="0.25">
      <c r="A63">
        <v>56</v>
      </c>
      <c r="B63">
        <f t="shared" si="0"/>
        <v>0.41</v>
      </c>
      <c r="C63">
        <f t="shared" si="1"/>
        <v>8</v>
      </c>
      <c r="D63">
        <f t="shared" si="2"/>
        <v>104.54999999999997</v>
      </c>
      <c r="E63">
        <f t="shared" si="3"/>
        <v>19.720000000000002</v>
      </c>
      <c r="F63">
        <f t="shared" si="4"/>
        <v>34.32</v>
      </c>
    </row>
    <row r="64" spans="1:6" x14ac:dyDescent="0.25">
      <c r="A64">
        <v>57</v>
      </c>
      <c r="B64">
        <f t="shared" si="0"/>
        <v>0.39</v>
      </c>
      <c r="C64">
        <f t="shared" si="1"/>
        <v>7.9</v>
      </c>
      <c r="D64">
        <f t="shared" si="2"/>
        <v>105.18999999999997</v>
      </c>
      <c r="E64">
        <f t="shared" si="3"/>
        <v>20.360000000000003</v>
      </c>
      <c r="F64">
        <f t="shared" si="4"/>
        <v>34.96</v>
      </c>
    </row>
    <row r="65" spans="1:6" x14ac:dyDescent="0.25">
      <c r="A65">
        <v>58</v>
      </c>
      <c r="B65">
        <f t="shared" si="0"/>
        <v>0.38</v>
      </c>
      <c r="C65">
        <f t="shared" si="1"/>
        <v>7.8</v>
      </c>
      <c r="D65">
        <f t="shared" si="2"/>
        <v>105.81999999999996</v>
      </c>
      <c r="E65">
        <f t="shared" si="3"/>
        <v>20.990000000000002</v>
      </c>
      <c r="F65">
        <f t="shared" si="4"/>
        <v>35.590000000000003</v>
      </c>
    </row>
    <row r="66" spans="1:6" x14ac:dyDescent="0.25">
      <c r="A66">
        <v>59</v>
      </c>
      <c r="B66">
        <f t="shared" si="0"/>
        <v>0.36</v>
      </c>
      <c r="C66">
        <f t="shared" si="1"/>
        <v>7.7</v>
      </c>
      <c r="D66">
        <f t="shared" si="2"/>
        <v>106.42999999999996</v>
      </c>
      <c r="E66">
        <f t="shared" si="3"/>
        <v>21.6</v>
      </c>
      <c r="F66">
        <f t="shared" si="4"/>
        <v>36.200000000000003</v>
      </c>
    </row>
    <row r="67" spans="1:6" x14ac:dyDescent="0.25">
      <c r="A67">
        <v>60</v>
      </c>
      <c r="B67">
        <f t="shared" si="0"/>
        <v>0.35</v>
      </c>
      <c r="C67">
        <f t="shared" si="1"/>
        <v>7.6</v>
      </c>
      <c r="D67">
        <f t="shared" si="2"/>
        <v>107.02999999999996</v>
      </c>
      <c r="E67">
        <f t="shared" si="3"/>
        <v>22.200000000000003</v>
      </c>
      <c r="F67">
        <f t="shared" si="4"/>
        <v>36.800000000000004</v>
      </c>
    </row>
    <row r="68" spans="1:6" x14ac:dyDescent="0.25">
      <c r="A68">
        <v>61</v>
      </c>
      <c r="B68">
        <f t="shared" si="0"/>
        <v>0.33</v>
      </c>
      <c r="C68">
        <f t="shared" si="1"/>
        <v>7.5</v>
      </c>
      <c r="D68">
        <f t="shared" si="2"/>
        <v>107.60999999999996</v>
      </c>
      <c r="E68">
        <f t="shared" si="3"/>
        <v>22.78</v>
      </c>
      <c r="F68">
        <f t="shared" si="4"/>
        <v>37.380000000000003</v>
      </c>
    </row>
  </sheetData>
  <conditionalFormatting sqref="E7:E68">
    <cfRule type="cellIs" dxfId="0" priority="1" operator="lessThan">
      <formula>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4' Wide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Horn</dc:creator>
  <cp:lastModifiedBy>Daniel Horn</cp:lastModifiedBy>
  <dcterms:created xsi:type="dcterms:W3CDTF">2026-03-05T16:38:44Z</dcterms:created>
  <dcterms:modified xsi:type="dcterms:W3CDTF">2026-03-05T18:20:22Z</dcterms:modified>
</cp:coreProperties>
</file>