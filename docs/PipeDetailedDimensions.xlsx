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organ\docs\"/>
    </mc:Choice>
  </mc:AlternateContent>
  <xr:revisionPtr revIDLastSave="0" documentId="13_ncr:1_{0DE240E3-473D-426A-8CB1-D8E0B3C2D57D}" xr6:coauthVersionLast="47" xr6:coauthVersionMax="47" xr10:uidLastSave="{00000000-0000-0000-0000-000000000000}"/>
  <bookViews>
    <workbookView xWindow="315" yWindow="2745" windowWidth="55605" windowHeight="23445" xr2:uid="{847D2A02-6D2F-45FA-AC97-53CF17BA2C7B}"/>
  </bookViews>
  <sheets>
    <sheet name="AncientBourd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7" i="1" l="1"/>
  <c r="AO28" i="1"/>
  <c r="AO29" i="1"/>
  <c r="AO30" i="1"/>
  <c r="AO31" i="1"/>
  <c r="AO32" i="1"/>
  <c r="AO33" i="1"/>
  <c r="AO34" i="1"/>
  <c r="AO26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7" i="1"/>
  <c r="AO4" i="1"/>
  <c r="AO5" i="1"/>
  <c r="AO3" i="1"/>
  <c r="AN27" i="1"/>
  <c r="AN28" i="1"/>
  <c r="AN29" i="1"/>
  <c r="AN30" i="1"/>
  <c r="AN31" i="1"/>
  <c r="AN32" i="1"/>
  <c r="AN33" i="1"/>
  <c r="AN34" i="1"/>
  <c r="AN26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7" i="1"/>
  <c r="AN4" i="1"/>
  <c r="AN5" i="1"/>
  <c r="AN3" i="1"/>
  <c r="AA27" i="1"/>
  <c r="AA28" i="1"/>
  <c r="AA29" i="1"/>
  <c r="AA30" i="1"/>
  <c r="AA31" i="1"/>
  <c r="AA32" i="1"/>
  <c r="AA33" i="1"/>
  <c r="AA34" i="1"/>
  <c r="AA26" i="1"/>
  <c r="AA22" i="1"/>
  <c r="AA23" i="1"/>
  <c r="AA24" i="1"/>
  <c r="AA21" i="1"/>
  <c r="AA16" i="1"/>
  <c r="AA17" i="1"/>
  <c r="AA18" i="1"/>
  <c r="AA19" i="1"/>
  <c r="AA20" i="1"/>
  <c r="AA15" i="1"/>
  <c r="AA8" i="1"/>
  <c r="AA9" i="1"/>
  <c r="AA10" i="1"/>
  <c r="AA11" i="1"/>
  <c r="AA12" i="1"/>
  <c r="AA13" i="1"/>
  <c r="AA14" i="1"/>
  <c r="AA7" i="1"/>
  <c r="AA4" i="1"/>
  <c r="AA5" i="1"/>
  <c r="AA3" i="1"/>
  <c r="M27" i="1"/>
  <c r="M28" i="1"/>
  <c r="Q28" i="1" s="1"/>
  <c r="M29" i="1"/>
  <c r="M30" i="1"/>
  <c r="M31" i="1"/>
  <c r="M32" i="1"/>
  <c r="Q32" i="1" s="1"/>
  <c r="M33" i="1"/>
  <c r="M34" i="1"/>
  <c r="M26" i="1"/>
  <c r="Q26" i="1" s="1"/>
  <c r="M8" i="1"/>
  <c r="M9" i="1"/>
  <c r="M10" i="1"/>
  <c r="M11" i="1"/>
  <c r="M12" i="1"/>
  <c r="Q12" i="1" s="1"/>
  <c r="M13" i="1"/>
  <c r="Q13" i="1" s="1"/>
  <c r="M14" i="1"/>
  <c r="M15" i="1"/>
  <c r="M16" i="1"/>
  <c r="M17" i="1"/>
  <c r="M18" i="1"/>
  <c r="M19" i="1"/>
  <c r="M20" i="1"/>
  <c r="M21" i="1"/>
  <c r="M22" i="1"/>
  <c r="M23" i="1"/>
  <c r="Q23" i="1" s="1"/>
  <c r="M24" i="1"/>
  <c r="M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7" i="1"/>
  <c r="F27" i="1"/>
  <c r="F28" i="1"/>
  <c r="F29" i="1"/>
  <c r="F30" i="1"/>
  <c r="F31" i="1"/>
  <c r="F32" i="1"/>
  <c r="F33" i="1"/>
  <c r="F34" i="1"/>
  <c r="F2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7" i="1"/>
  <c r="O27" i="1"/>
  <c r="O28" i="1"/>
  <c r="O29" i="1"/>
  <c r="O30" i="1"/>
  <c r="O31" i="1"/>
  <c r="O32" i="1"/>
  <c r="O33" i="1"/>
  <c r="O34" i="1"/>
  <c r="O26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7" i="1"/>
  <c r="E26" i="1"/>
  <c r="G26" i="1" s="1"/>
  <c r="E27" i="1"/>
  <c r="N27" i="1" s="1"/>
  <c r="E28" i="1"/>
  <c r="N28" i="1" s="1"/>
  <c r="E29" i="1"/>
  <c r="N29" i="1" s="1"/>
  <c r="E30" i="1"/>
  <c r="N30" i="1" s="1"/>
  <c r="E31" i="1"/>
  <c r="N31" i="1" s="1"/>
  <c r="E32" i="1"/>
  <c r="N32" i="1" s="1"/>
  <c r="E33" i="1"/>
  <c r="N33" i="1" s="1"/>
  <c r="E34" i="1"/>
  <c r="E8" i="1"/>
  <c r="G8" i="1" s="1"/>
  <c r="E9" i="1"/>
  <c r="N9" i="1" s="1"/>
  <c r="E10" i="1"/>
  <c r="N10" i="1" s="1"/>
  <c r="E11" i="1"/>
  <c r="N11" i="1" s="1"/>
  <c r="E12" i="1"/>
  <c r="N12" i="1" s="1"/>
  <c r="E13" i="1"/>
  <c r="N13" i="1" s="1"/>
  <c r="E14" i="1"/>
  <c r="N14" i="1" s="1"/>
  <c r="E15" i="1"/>
  <c r="N15" i="1" s="1"/>
  <c r="E16" i="1"/>
  <c r="E17" i="1"/>
  <c r="G17" i="1" s="1"/>
  <c r="E18" i="1"/>
  <c r="G18" i="1" s="1"/>
  <c r="E19" i="1"/>
  <c r="E20" i="1"/>
  <c r="N20" i="1" s="1"/>
  <c r="E21" i="1"/>
  <c r="G21" i="1" s="1"/>
  <c r="E22" i="1"/>
  <c r="G22" i="1" s="1"/>
  <c r="E23" i="1"/>
  <c r="G23" i="1" s="1"/>
  <c r="E24" i="1"/>
  <c r="E7" i="1"/>
  <c r="G7" i="1"/>
  <c r="Q21" i="1"/>
  <c r="Q22" i="1"/>
  <c r="Q24" i="1"/>
  <c r="Q7" i="1"/>
  <c r="BJ4" i="1"/>
  <c r="BJ5" i="1"/>
  <c r="BJ6" i="1"/>
  <c r="BJ8" i="1"/>
  <c r="BJ10" i="1"/>
  <c r="BJ11" i="1"/>
  <c r="BJ12" i="1"/>
  <c r="BJ14" i="1"/>
  <c r="BJ16" i="1"/>
  <c r="BJ23" i="1"/>
  <c r="BJ24" i="1"/>
  <c r="BJ25" i="1"/>
  <c r="BJ3" i="1"/>
  <c r="BI4" i="1"/>
  <c r="BI5" i="1"/>
  <c r="BI6" i="1"/>
  <c r="BI7" i="1"/>
  <c r="BI8" i="1"/>
  <c r="BI9" i="1"/>
  <c r="BI10" i="1"/>
  <c r="BI11" i="1"/>
  <c r="BI12" i="1"/>
  <c r="BI14" i="1"/>
  <c r="BI15" i="1"/>
  <c r="BI16" i="1"/>
  <c r="BI17" i="1"/>
  <c r="BI18" i="1"/>
  <c r="BI19" i="1"/>
  <c r="BI20" i="1"/>
  <c r="BI21" i="1"/>
  <c r="BI23" i="1"/>
  <c r="BI24" i="1"/>
  <c r="BI25" i="1"/>
  <c r="BI26" i="1"/>
  <c r="BI28" i="1"/>
  <c r="BI30" i="1"/>
  <c r="BI33" i="1"/>
  <c r="BI34" i="1"/>
  <c r="BI3" i="1"/>
  <c r="BH4" i="1"/>
  <c r="BH5" i="1"/>
  <c r="BH6" i="1"/>
  <c r="BH7" i="1"/>
  <c r="BJ7" i="1" s="1"/>
  <c r="BH8" i="1"/>
  <c r="BH9" i="1"/>
  <c r="BH10" i="1"/>
  <c r="BH11" i="1"/>
  <c r="BH12" i="1"/>
  <c r="BH13" i="1"/>
  <c r="BJ13" i="1" s="1"/>
  <c r="BH14" i="1"/>
  <c r="BH15" i="1"/>
  <c r="BJ15" i="1" s="1"/>
  <c r="BH16" i="1"/>
  <c r="BH17" i="1"/>
  <c r="BJ17" i="1" s="1"/>
  <c r="BH18" i="1"/>
  <c r="BJ18" i="1" s="1"/>
  <c r="BH19" i="1"/>
  <c r="BJ19" i="1" s="1"/>
  <c r="BH20" i="1"/>
  <c r="BJ20" i="1" s="1"/>
  <c r="BH21" i="1"/>
  <c r="BJ21" i="1" s="1"/>
  <c r="BH22" i="1"/>
  <c r="BH23" i="1"/>
  <c r="BH24" i="1"/>
  <c r="BH25" i="1"/>
  <c r="BH26" i="1"/>
  <c r="BJ26" i="1" s="1"/>
  <c r="BH27" i="1"/>
  <c r="BH28" i="1"/>
  <c r="BJ28" i="1" s="1"/>
  <c r="BH29" i="1"/>
  <c r="BH30" i="1"/>
  <c r="BJ30" i="1" s="1"/>
  <c r="BH31" i="1"/>
  <c r="BH32" i="1"/>
  <c r="BH33" i="1"/>
  <c r="BJ33" i="1" s="1"/>
  <c r="BH34" i="1"/>
  <c r="BH3" i="1"/>
  <c r="BG4" i="1"/>
  <c r="BG5" i="1"/>
  <c r="BG6" i="1"/>
  <c r="BG7" i="1"/>
  <c r="BG8" i="1"/>
  <c r="BG9" i="1"/>
  <c r="BJ9" i="1" s="1"/>
  <c r="BG10" i="1"/>
  <c r="BG11" i="1"/>
  <c r="BG12" i="1"/>
  <c r="BG13" i="1"/>
  <c r="BI13" i="1" s="1"/>
  <c r="BG14" i="1"/>
  <c r="BG15" i="1"/>
  <c r="BG16" i="1"/>
  <c r="BG17" i="1"/>
  <c r="BG18" i="1"/>
  <c r="BG19" i="1"/>
  <c r="BG20" i="1"/>
  <c r="BG21" i="1"/>
  <c r="BG22" i="1"/>
  <c r="BJ22" i="1" s="1"/>
  <c r="BG23" i="1"/>
  <c r="BG24" i="1"/>
  <c r="BG25" i="1"/>
  <c r="BG26" i="1"/>
  <c r="BG27" i="1"/>
  <c r="BI27" i="1" s="1"/>
  <c r="BG28" i="1"/>
  <c r="BG29" i="1"/>
  <c r="BI29" i="1" s="1"/>
  <c r="BG30" i="1"/>
  <c r="BG31" i="1"/>
  <c r="BI31" i="1" s="1"/>
  <c r="BG32" i="1"/>
  <c r="BI32" i="1" s="1"/>
  <c r="BG33" i="1"/>
  <c r="BG34" i="1"/>
  <c r="BG3" i="1"/>
  <c r="Y30" i="1"/>
  <c r="Y28" i="1"/>
  <c r="Y26" i="1"/>
  <c r="Y21" i="1"/>
  <c r="Y16" i="1"/>
  <c r="Y5" i="1"/>
  <c r="N4" i="1"/>
  <c r="N5" i="1"/>
  <c r="N6" i="1"/>
  <c r="N16" i="1"/>
  <c r="N17" i="1"/>
  <c r="N19" i="1"/>
  <c r="N24" i="1"/>
  <c r="N25" i="1"/>
  <c r="N34" i="1"/>
  <c r="N3" i="1"/>
  <c r="Q8" i="1"/>
  <c r="Q9" i="1"/>
  <c r="Q10" i="1"/>
  <c r="Q11" i="1"/>
  <c r="Q14" i="1"/>
  <c r="Q15" i="1"/>
  <c r="Q16" i="1"/>
  <c r="Q17" i="1"/>
  <c r="Q18" i="1"/>
  <c r="Q19" i="1"/>
  <c r="Q20" i="1"/>
  <c r="Q25" i="1"/>
  <c r="Q27" i="1"/>
  <c r="Q29" i="1"/>
  <c r="Q30" i="1"/>
  <c r="Q31" i="1"/>
  <c r="Q33" i="1"/>
  <c r="Q34" i="1"/>
  <c r="Q3" i="1"/>
  <c r="Q4" i="1"/>
  <c r="Q5" i="1"/>
  <c r="Q6" i="1"/>
  <c r="G16" i="1"/>
  <c r="G19" i="1"/>
  <c r="G20" i="1"/>
  <c r="G24" i="1"/>
  <c r="G25" i="1"/>
  <c r="G27" i="1"/>
  <c r="G28" i="1"/>
  <c r="G29" i="1"/>
  <c r="G30" i="1"/>
  <c r="G31" i="1"/>
  <c r="G32" i="1"/>
  <c r="G33" i="1"/>
  <c r="G34" i="1"/>
  <c r="G3" i="1"/>
  <c r="G4" i="1"/>
  <c r="G5" i="1"/>
  <c r="G6" i="1"/>
  <c r="AV31" i="1"/>
  <c r="AV32" i="1"/>
  <c r="AV33" i="1"/>
  <c r="AV34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D27" i="1"/>
  <c r="AD22" i="1"/>
  <c r="AD9" i="1"/>
  <c r="BE4" i="1"/>
  <c r="BE5" i="1"/>
  <c r="BE7" i="1"/>
  <c r="BE8" i="1"/>
  <c r="BE3" i="1"/>
  <c r="BC4" i="1"/>
  <c r="BC5" i="1"/>
  <c r="BC6" i="1"/>
  <c r="BC7" i="1"/>
  <c r="BC8" i="1"/>
  <c r="BC10" i="1"/>
  <c r="BC11" i="1"/>
  <c r="BC12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8" i="1"/>
  <c r="BC30" i="1"/>
  <c r="BC3" i="1"/>
  <c r="BB3" i="1" s="1"/>
  <c r="BD11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E29" i="1"/>
  <c r="AZ29" i="1"/>
  <c r="BA29" i="1" s="1"/>
  <c r="BC29" i="1" s="1"/>
  <c r="AF27" i="1"/>
  <c r="AE27" i="1"/>
  <c r="AF22" i="1"/>
  <c r="AE22" i="1"/>
  <c r="AE13" i="1"/>
  <c r="AF9" i="1"/>
  <c r="AE9" i="1"/>
  <c r="AZ9" i="1"/>
  <c r="BA4" i="1"/>
  <c r="BA5" i="1"/>
  <c r="BA6" i="1"/>
  <c r="BA7" i="1"/>
  <c r="BA8" i="1"/>
  <c r="BA10" i="1"/>
  <c r="BA11" i="1"/>
  <c r="BA12" i="1"/>
  <c r="BA14" i="1"/>
  <c r="BA15" i="1"/>
  <c r="BA16" i="1"/>
  <c r="BA17" i="1"/>
  <c r="BA18" i="1"/>
  <c r="BA19" i="1"/>
  <c r="BA20" i="1"/>
  <c r="BA21" i="1"/>
  <c r="BA23" i="1"/>
  <c r="BA24" i="1"/>
  <c r="BA25" i="1"/>
  <c r="BA26" i="1"/>
  <c r="BA28" i="1"/>
  <c r="BA30" i="1"/>
  <c r="BA3" i="1"/>
  <c r="AZ4" i="1"/>
  <c r="AZ5" i="1"/>
  <c r="AZ6" i="1"/>
  <c r="AZ7" i="1"/>
  <c r="AZ8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30" i="1"/>
  <c r="AZ31" i="1"/>
  <c r="AZ32" i="1"/>
  <c r="AZ33" i="1"/>
  <c r="AZ34" i="1"/>
  <c r="AZ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BA22" i="1" s="1"/>
  <c r="AY23" i="1"/>
  <c r="AY24" i="1"/>
  <c r="AY25" i="1"/>
  <c r="AY26" i="1"/>
  <c r="AY27" i="1"/>
  <c r="AY28" i="1"/>
  <c r="AY29" i="1"/>
  <c r="AY30" i="1"/>
  <c r="AY31" i="1"/>
  <c r="AY32" i="1"/>
  <c r="AY33" i="1"/>
  <c r="AY34" i="1"/>
  <c r="BA34" i="1" s="1"/>
  <c r="BC34" i="1" s="1"/>
  <c r="AY3" i="1"/>
  <c r="AW7" i="1"/>
  <c r="AW8" i="1"/>
  <c r="AW6" i="1"/>
  <c r="AV6" i="1"/>
  <c r="AV7" i="1"/>
  <c r="AV8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4" i="1"/>
  <c r="AU3" i="1"/>
  <c r="BJ34" i="1" l="1"/>
  <c r="BJ32" i="1"/>
  <c r="BJ31" i="1"/>
  <c r="BJ29" i="1"/>
  <c r="BJ27" i="1"/>
  <c r="BI22" i="1"/>
  <c r="N26" i="1"/>
  <c r="G15" i="1"/>
  <c r="G13" i="1"/>
  <c r="N8" i="1"/>
  <c r="G12" i="1"/>
  <c r="G11" i="1"/>
  <c r="G10" i="1"/>
  <c r="G9" i="1"/>
  <c r="N23" i="1"/>
  <c r="N22" i="1"/>
  <c r="N21" i="1"/>
  <c r="G14" i="1"/>
  <c r="N18" i="1"/>
  <c r="N7" i="1"/>
  <c r="BA31" i="1"/>
  <c r="BC31" i="1" s="1"/>
  <c r="BA27" i="1"/>
  <c r="BC27" i="1" s="1"/>
  <c r="BA13" i="1"/>
  <c r="BC13" i="1" s="1"/>
  <c r="BA33" i="1"/>
  <c r="BC33" i="1" s="1"/>
  <c r="BA32" i="1"/>
  <c r="BC32" i="1" s="1"/>
  <c r="BB9" i="1"/>
  <c r="BB8" i="1"/>
  <c r="BB7" i="1"/>
  <c r="BB6" i="1"/>
  <c r="BE6" i="1" s="1"/>
  <c r="BB5" i="1"/>
  <c r="BB4" i="1"/>
  <c r="BB10" i="1"/>
  <c r="BE10" i="1" s="1"/>
  <c r="BB11" i="1"/>
  <c r="BE11" i="1" s="1"/>
  <c r="BD14" i="1"/>
  <c r="BB13" i="1"/>
  <c r="BE13" i="1" s="1"/>
  <c r="BB12" i="1"/>
  <c r="BE12" i="1" s="1"/>
  <c r="BA9" i="1"/>
  <c r="BC9" i="1" s="1"/>
  <c r="BE9" i="1" s="1"/>
  <c r="BB14" i="1" l="1"/>
  <c r="BE14" i="1" s="1"/>
  <c r="AE26" i="1"/>
  <c r="AE24" i="1"/>
  <c r="AE20" i="1"/>
  <c r="AE19" i="1"/>
  <c r="AE18" i="1"/>
  <c r="AE17" i="1"/>
  <c r="AE16" i="1"/>
  <c r="AE14" i="1"/>
  <c r="AE12" i="1"/>
  <c r="AE11" i="1"/>
  <c r="AE1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" i="1"/>
  <c r="AF30" i="1"/>
  <c r="AS30" i="1" s="1"/>
  <c r="AF28" i="1"/>
  <c r="AC28" i="1" s="1"/>
  <c r="AF26" i="1"/>
  <c r="AC26" i="1" s="1"/>
  <c r="AF24" i="1"/>
  <c r="AC24" i="1" s="1"/>
  <c r="AF23" i="1"/>
  <c r="AF21" i="1"/>
  <c r="AS21" i="1" s="1"/>
  <c r="AF20" i="1"/>
  <c r="AC20" i="1" s="1"/>
  <c r="AF19" i="1"/>
  <c r="AF18" i="1"/>
  <c r="AS18" i="1" s="1"/>
  <c r="AF17" i="1"/>
  <c r="AS17" i="1" s="1"/>
  <c r="AF16" i="1"/>
  <c r="AF15" i="1"/>
  <c r="AS15" i="1" s="1"/>
  <c r="AF14" i="1"/>
  <c r="AS14" i="1" s="1"/>
  <c r="AF12" i="1"/>
  <c r="AS12" i="1" s="1"/>
  <c r="AS7" i="1"/>
  <c r="AS8" i="1"/>
  <c r="AS9" i="1"/>
  <c r="AS10" i="1"/>
  <c r="AS11" i="1"/>
  <c r="AS13" i="1"/>
  <c r="AS16" i="1"/>
  <c r="AS19" i="1"/>
  <c r="AS22" i="1"/>
  <c r="AS23" i="1"/>
  <c r="AS25" i="1"/>
  <c r="AS27" i="1"/>
  <c r="AS28" i="1"/>
  <c r="AS29" i="1"/>
  <c r="AS31" i="1"/>
  <c r="AS32" i="1"/>
  <c r="AS33" i="1"/>
  <c r="AS34" i="1"/>
  <c r="AS35" i="1"/>
  <c r="AS3" i="1"/>
  <c r="AS4" i="1"/>
  <c r="AS5" i="1"/>
  <c r="AS6" i="1"/>
  <c r="AD24" i="1"/>
  <c r="AD23" i="1"/>
  <c r="AD21" i="1"/>
  <c r="AD20" i="1"/>
  <c r="AD19" i="1"/>
  <c r="AD17" i="1"/>
  <c r="AD16" i="1"/>
  <c r="AD12" i="1"/>
  <c r="AD11" i="1"/>
  <c r="AD10" i="1"/>
  <c r="AD8" i="1"/>
  <c r="AD7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" i="1"/>
  <c r="AB4" i="1"/>
  <c r="AB5" i="1"/>
  <c r="AB6" i="1"/>
  <c r="AC7" i="1"/>
  <c r="AC8" i="1"/>
  <c r="AC9" i="1"/>
  <c r="AC10" i="1"/>
  <c r="AC11" i="1"/>
  <c r="AC13" i="1"/>
  <c r="AC16" i="1"/>
  <c r="AC19" i="1"/>
  <c r="AC21" i="1"/>
  <c r="AC22" i="1"/>
  <c r="AC23" i="1"/>
  <c r="AC25" i="1"/>
  <c r="AC27" i="1"/>
  <c r="AC29" i="1"/>
  <c r="AC31" i="1"/>
  <c r="AC32" i="1"/>
  <c r="AC33" i="1"/>
  <c r="AC34" i="1"/>
  <c r="AC35" i="1"/>
  <c r="AC3" i="1"/>
  <c r="AC4" i="1"/>
  <c r="AC5" i="1"/>
  <c r="AC6" i="1"/>
  <c r="AF6" i="1"/>
  <c r="BB15" i="1" l="1"/>
  <c r="BE15" i="1" s="1"/>
  <c r="AC30" i="1"/>
  <c r="AS26" i="1"/>
  <c r="AS24" i="1"/>
  <c r="AS20" i="1"/>
  <c r="AC18" i="1"/>
  <c r="AC17" i="1"/>
  <c r="AC15" i="1"/>
  <c r="AC14" i="1"/>
  <c r="AC12" i="1"/>
  <c r="BD17" i="1" l="1"/>
  <c r="BB16" i="1"/>
  <c r="BE16" i="1" s="1"/>
  <c r="BD18" i="1" l="1"/>
  <c r="BB17" i="1"/>
  <c r="BE17" i="1" s="1"/>
  <c r="BD19" i="1" l="1"/>
  <c r="BB18" i="1"/>
  <c r="BE18" i="1" s="1"/>
  <c r="BB19" i="1" l="1"/>
  <c r="BE19" i="1" s="1"/>
  <c r="BD21" i="1" l="1"/>
  <c r="BB20" i="1"/>
  <c r="BE20" i="1" s="1"/>
  <c r="BB21" i="1" l="1"/>
  <c r="BE21" i="1" s="1"/>
  <c r="BB22" i="1" l="1"/>
  <c r="BE22" i="1" s="1"/>
  <c r="BD24" i="1" l="1"/>
  <c r="BB23" i="1"/>
  <c r="BE23" i="1" s="1"/>
  <c r="BB24" i="1" l="1"/>
  <c r="BE24" i="1" s="1"/>
  <c r="BB25" i="1" l="1"/>
  <c r="BE25" i="1" s="1"/>
  <c r="BB26" i="1" l="1"/>
  <c r="BE26" i="1" s="1"/>
  <c r="BB27" i="1" l="1"/>
  <c r="BE27" i="1" s="1"/>
  <c r="BD28" i="1"/>
  <c r="BB28" i="1" l="1"/>
  <c r="BE28" i="1" s="1"/>
  <c r="BB29" i="1" l="1"/>
  <c r="BE29" i="1" s="1"/>
  <c r="BB30" i="1" l="1"/>
  <c r="BE30" i="1" s="1"/>
  <c r="BB31" i="1" l="1"/>
  <c r="BE31" i="1" s="1"/>
  <c r="BB32" i="1" l="1"/>
  <c r="BE32" i="1" s="1"/>
  <c r="BD33" i="1"/>
  <c r="BB33" i="1" l="1"/>
  <c r="BE33" i="1" s="1"/>
  <c r="BD34" i="1"/>
  <c r="BB34" i="1" s="1"/>
  <c r="BE34" i="1" s="1"/>
  <c r="AW31" i="1"/>
  <c r="AW34" i="1"/>
  <c r="AW33" i="1"/>
  <c r="AW32" i="1"/>
</calcChain>
</file>

<file path=xl/sharedStrings.xml><?xml version="1.0" encoding="utf-8"?>
<sst xmlns="http://schemas.openxmlformats.org/spreadsheetml/2006/main" count="89" uniqueCount="89">
  <si>
    <t>'variant</t>
  </si>
  <si>
    <t>'back_thickness</t>
  </si>
  <si>
    <t>'cap_height</t>
  </si>
  <si>
    <t>'cap_thickness</t>
  </si>
  <si>
    <t>'foot_bottom_innerdiameter</t>
  </si>
  <si>
    <t>'foot_bottom_outerdiameter</t>
  </si>
  <si>
    <t>'foot_plug_diameter</t>
  </si>
  <si>
    <t>'foot_plug_frombottom</t>
  </si>
  <si>
    <t>'foot_plug_handle_length</t>
  </si>
  <si>
    <t>'foot_plug_length</t>
  </si>
  <si>
    <t>'foot_taperheight</t>
  </si>
  <si>
    <t>'foot_tenon_height</t>
  </si>
  <si>
    <t>'foot_tenon_outerdiameter</t>
  </si>
  <si>
    <t>'foot_top_innerdiameter</t>
  </si>
  <si>
    <t>'foot_top_outerdiameter</t>
  </si>
  <si>
    <t>'foot_totalheight</t>
  </si>
  <si>
    <t>'footsocket_diameter</t>
  </si>
  <si>
    <t>'footsocket_fromfront</t>
  </si>
  <si>
    <t>'footsocket_fromleft</t>
  </si>
  <si>
    <t>'front_thickness</t>
  </si>
  <si>
    <t>'hook_gap</t>
  </si>
  <si>
    <t>'hook_innerheight</t>
  </si>
  <si>
    <t>'hook_outerdepth</t>
  </si>
  <si>
    <t>'hook_outerheight</t>
  </si>
  <si>
    <t>'hook_top_from_topofpipe</t>
  </si>
  <si>
    <t>'hook_width</t>
  </si>
  <si>
    <t>'mouth_center_height</t>
  </si>
  <si>
    <t>'mouth_sides_height</t>
  </si>
  <si>
    <t>'mouth_width</t>
  </si>
  <si>
    <t>'outer_depth</t>
  </si>
  <si>
    <t>'outer_height</t>
  </si>
  <si>
    <t>'outer_width</t>
  </si>
  <si>
    <t>'side_thickness</t>
  </si>
  <si>
    <t>'stopper_handle_base_diameter</t>
  </si>
  <si>
    <t>'stopper_handle_tenon_diameter</t>
  </si>
  <si>
    <t>'stopper_handle_visible_length</t>
  </si>
  <si>
    <t>'stopper_insertion_depth</t>
  </si>
  <si>
    <t>'stopper_leather_thickness</t>
  </si>
  <si>
    <t>'stopper_thickness</t>
  </si>
  <si>
    <t>'upperlip_depth_at_mouth</t>
  </si>
  <si>
    <t>'upperlip_height</t>
  </si>
  <si>
    <t>'C1</t>
  </si>
  <si>
    <t>'C#1</t>
  </si>
  <si>
    <t>'D1</t>
  </si>
  <si>
    <t>'D#1</t>
  </si>
  <si>
    <t>'E1</t>
  </si>
  <si>
    <t>'F1</t>
  </si>
  <si>
    <t>'F#1</t>
  </si>
  <si>
    <t>'G1</t>
  </si>
  <si>
    <t>'G#1</t>
  </si>
  <si>
    <t>'A1</t>
  </si>
  <si>
    <t>'A#1</t>
  </si>
  <si>
    <t>'B1</t>
  </si>
  <si>
    <t>'C2</t>
  </si>
  <si>
    <t>'C#2</t>
  </si>
  <si>
    <t>'D2</t>
  </si>
  <si>
    <t>'D#2</t>
  </si>
  <si>
    <t>'E2</t>
  </si>
  <si>
    <t>'F2</t>
  </si>
  <si>
    <t>'F#2</t>
  </si>
  <si>
    <t>'G2</t>
  </si>
  <si>
    <t>'G#2</t>
  </si>
  <si>
    <t>'A2</t>
  </si>
  <si>
    <t>'A#2</t>
  </si>
  <si>
    <t>'B2</t>
  </si>
  <si>
    <t>'C3</t>
  </si>
  <si>
    <t>'C#3</t>
  </si>
  <si>
    <t>'D3</t>
  </si>
  <si>
    <t>'D#3</t>
  </si>
  <si>
    <t>'E3</t>
  </si>
  <si>
    <t>'F3</t>
  </si>
  <si>
    <t>'F#3</t>
  </si>
  <si>
    <t>'G3</t>
  </si>
  <si>
    <t>w/d ratio</t>
  </si>
  <si>
    <t>pipe number</t>
  </si>
  <si>
    <t>ideal speaking length</t>
  </si>
  <si>
    <t>actual_length_minus_cap</t>
  </si>
  <si>
    <t>diff_from_ideal</t>
  </si>
  <si>
    <t>InnerW</t>
  </si>
  <si>
    <t>InnerD</t>
  </si>
  <si>
    <t>CrossArea</t>
  </si>
  <si>
    <t>Equiv.Diameter</t>
  </si>
  <si>
    <t>Scaler</t>
  </si>
  <si>
    <t>diff</t>
  </si>
  <si>
    <t>hanger_from_top</t>
  </si>
  <si>
    <t>toe_to_tip_height</t>
  </si>
  <si>
    <t>hanger_from_base</t>
  </si>
  <si>
    <t>hanger_from_toe</t>
  </si>
  <si>
    <t>block_recess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</si>
</sst>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8" borderId="0" applyNumberFormat="0" applyBorder="0" applyAlignment="0" applyProtection="0"/>
  </cellStyleXfs>
  <cellXfs count="21">
    <xf numFmtId="0" fontId="0" fillId="0" borderId="0" xfId="0"/>
    <xf numFmtId="0" fontId="3" fillId="3" borderId="1" xfId="2"/>
    <xf numFmtId="0" fontId="4" fillId="6" borderId="0" xfId="0" applyFont="1" applyFill="1"/>
    <xf numFmtId="0" fontId="0" fillId="0" borderId="2" xfId="0" applyBorder="1"/>
    <xf numFmtId="0" fontId="4" fillId="6" borderId="2" xfId="0" applyFont="1" applyFill="1" applyBorder="1"/>
    <xf numFmtId="0" fontId="3" fillId="3" borderId="3" xfId="2" applyBorder="1"/>
    <xf numFmtId="0" fontId="3" fillId="3" borderId="4" xfId="2" applyBorder="1"/>
    <xf numFmtId="0" fontId="0" fillId="7" borderId="0" xfId="0" applyFill="1"/>
    <xf numFmtId="0" fontId="3" fillId="7" borderId="1" xfId="2" applyFill="1"/>
    <xf numFmtId="0" fontId="4" fillId="7" borderId="0" xfId="0" applyFont="1" applyFill="1"/>
    <xf numFmtId="0" fontId="3" fillId="7" borderId="3" xfId="2" applyFill="1" applyBorder="1"/>
    <xf numFmtId="0" fontId="0" fillId="0" borderId="0" xfId="0" quotePrefix="1"/>
    <xf numFmtId="0" fontId="2" fillId="2" borderId="0" xfId="1"/>
    <xf numFmtId="0" fontId="2" fillId="7" borderId="0" xfId="1" applyFill="1"/>
    <xf numFmtId="0" fontId="1" fillId="4" borderId="0" xfId="3"/>
    <xf numFmtId="0" fontId="1" fillId="5" borderId="0" xfId="4"/>
    <xf numFmtId="0" fontId="0" fillId="0" borderId="0" xfId="0" applyFill="1" applyBorder="1"/>
    <xf numFmtId="0" fontId="5" fillId="8" borderId="0" xfId="5"/>
    <xf numFmtId="0" fontId="5" fillId="8" borderId="2" xfId="5" applyBorder="1"/>
    <xf numFmtId="0" fontId="4" fillId="6" borderId="0" xfId="0" applyFont="1" applyFill="1" applyBorder="1"/>
    <xf numFmtId="0" fontId="5" fillId="8" borderId="0" xfId="5" applyBorder="1"/>
  </cellXfs>
  <cellStyles count="6">
    <cellStyle name="20% - Accent4" xfId="3" builtinId="42"/>
    <cellStyle name="20% - Accent5" xfId="4" builtinId="46"/>
    <cellStyle name="Bad" xfId="5" builtinId="27"/>
    <cellStyle name="Calculation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Speaking Length vs Ideal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AncientBourdon!$AU$3:$AU$34</c:f>
              <c:numCache>
                <c:formatCode>General</c:formatCode>
                <c:ptCount val="32"/>
                <c:pt idx="0">
                  <c:v>96</c:v>
                </c:pt>
                <c:pt idx="1">
                  <c:v>90.61</c:v>
                </c:pt>
                <c:pt idx="2">
                  <c:v>85.53</c:v>
                </c:pt>
                <c:pt idx="3">
                  <c:v>80.73</c:v>
                </c:pt>
                <c:pt idx="4">
                  <c:v>76.2</c:v>
                </c:pt>
                <c:pt idx="5">
                  <c:v>71.92</c:v>
                </c:pt>
                <c:pt idx="6">
                  <c:v>67.88</c:v>
                </c:pt>
                <c:pt idx="7">
                  <c:v>64.069999999999993</c:v>
                </c:pt>
                <c:pt idx="8">
                  <c:v>60.48</c:v>
                </c:pt>
                <c:pt idx="9">
                  <c:v>57.08</c:v>
                </c:pt>
                <c:pt idx="10">
                  <c:v>53.88</c:v>
                </c:pt>
                <c:pt idx="11">
                  <c:v>50.85</c:v>
                </c:pt>
                <c:pt idx="12">
                  <c:v>48</c:v>
                </c:pt>
                <c:pt idx="13">
                  <c:v>45.31</c:v>
                </c:pt>
                <c:pt idx="14">
                  <c:v>42.76</c:v>
                </c:pt>
                <c:pt idx="15">
                  <c:v>40.36</c:v>
                </c:pt>
                <c:pt idx="16">
                  <c:v>38.1</c:v>
                </c:pt>
                <c:pt idx="17">
                  <c:v>35.96</c:v>
                </c:pt>
                <c:pt idx="18">
                  <c:v>33.94</c:v>
                </c:pt>
                <c:pt idx="19">
                  <c:v>32.04</c:v>
                </c:pt>
                <c:pt idx="20">
                  <c:v>30.24</c:v>
                </c:pt>
                <c:pt idx="21">
                  <c:v>28.54</c:v>
                </c:pt>
                <c:pt idx="22">
                  <c:v>26.94</c:v>
                </c:pt>
                <c:pt idx="23">
                  <c:v>25.43</c:v>
                </c:pt>
                <c:pt idx="24">
                  <c:v>24</c:v>
                </c:pt>
                <c:pt idx="25">
                  <c:v>22.65</c:v>
                </c:pt>
                <c:pt idx="26">
                  <c:v>21.38</c:v>
                </c:pt>
                <c:pt idx="27">
                  <c:v>20.18</c:v>
                </c:pt>
                <c:pt idx="28">
                  <c:v>19.05</c:v>
                </c:pt>
                <c:pt idx="29">
                  <c:v>17.98</c:v>
                </c:pt>
                <c:pt idx="30">
                  <c:v>16.97</c:v>
                </c:pt>
                <c:pt idx="31">
                  <c:v>16.02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4-4EC7-9485-9021F173BDE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AncientBourdon!$AV$3:$AV$34</c:f>
              <c:numCache>
                <c:formatCode>General</c:formatCode>
                <c:ptCount val="32"/>
                <c:pt idx="3">
                  <c:v>81.875</c:v>
                </c:pt>
                <c:pt idx="4">
                  <c:v>79.125</c:v>
                </c:pt>
                <c:pt idx="5">
                  <c:v>74.625</c:v>
                </c:pt>
                <c:pt idx="6">
                  <c:v>70.3125</c:v>
                </c:pt>
                <c:pt idx="7">
                  <c:v>66</c:v>
                </c:pt>
                <c:pt idx="8">
                  <c:v>62.375</c:v>
                </c:pt>
                <c:pt idx="9">
                  <c:v>59</c:v>
                </c:pt>
                <c:pt idx="10">
                  <c:v>55.625</c:v>
                </c:pt>
                <c:pt idx="11">
                  <c:v>52.25</c:v>
                </c:pt>
                <c:pt idx="12">
                  <c:v>49.15</c:v>
                </c:pt>
                <c:pt idx="13">
                  <c:v>46.524999999999999</c:v>
                </c:pt>
                <c:pt idx="14">
                  <c:v>43.65</c:v>
                </c:pt>
                <c:pt idx="15">
                  <c:v>41.4</c:v>
                </c:pt>
                <c:pt idx="16">
                  <c:v>38.825000000000003</c:v>
                </c:pt>
                <c:pt idx="17">
                  <c:v>37.200000000000003</c:v>
                </c:pt>
                <c:pt idx="18">
                  <c:v>35.200000000000003</c:v>
                </c:pt>
                <c:pt idx="19">
                  <c:v>32.950000000000003</c:v>
                </c:pt>
                <c:pt idx="20">
                  <c:v>31.05</c:v>
                </c:pt>
                <c:pt idx="21">
                  <c:v>29.425000000000001</c:v>
                </c:pt>
                <c:pt idx="22">
                  <c:v>27.43</c:v>
                </c:pt>
                <c:pt idx="23">
                  <c:v>25.925000000000001</c:v>
                </c:pt>
                <c:pt idx="24">
                  <c:v>24.612500000000001</c:v>
                </c:pt>
                <c:pt idx="25">
                  <c:v>23.05</c:v>
                </c:pt>
                <c:pt idx="26">
                  <c:v>21.8</c:v>
                </c:pt>
                <c:pt idx="27">
                  <c:v>20.59</c:v>
                </c:pt>
                <c:pt idx="28">
                  <c:v>19.450000000000003</c:v>
                </c:pt>
                <c:pt idx="29">
                  <c:v>18.380000000000003</c:v>
                </c:pt>
                <c:pt idx="30">
                  <c:v>17.37</c:v>
                </c:pt>
                <c:pt idx="31">
                  <c:v>16.420000000000002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4-4EC7-9485-9021F173B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178688"/>
        <c:axId val="516181088"/>
      </c:lineChart>
      <c:catAx>
        <c:axId val="51617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81088"/>
        <c:crosses val="autoZero"/>
        <c:auto val="1"/>
        <c:lblAlgn val="ctr"/>
        <c:lblOffset val="100"/>
        <c:noMultiLvlLbl val="0"/>
      </c:catAx>
      <c:valAx>
        <c:axId val="51618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7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800962379702538E-2"/>
          <c:y val="0.19486111111111112"/>
          <c:w val="0.90297462817147855"/>
          <c:h val="0.721258019830854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AncientBourdon!$BA$3:$BA$34</c:f>
              <c:numCache>
                <c:formatCode>General</c:formatCode>
                <c:ptCount val="32"/>
                <c:pt idx="0">
                  <c:v>56.752500000000005</c:v>
                </c:pt>
                <c:pt idx="1">
                  <c:v>51.089999999999996</c:v>
                </c:pt>
                <c:pt idx="2">
                  <c:v>46.62</c:v>
                </c:pt>
                <c:pt idx="3">
                  <c:v>41.771249999999995</c:v>
                </c:pt>
                <c:pt idx="4">
                  <c:v>38.714999999999996</c:v>
                </c:pt>
                <c:pt idx="5">
                  <c:v>34.855624999999996</c:v>
                </c:pt>
                <c:pt idx="6">
                  <c:v>30.930624999999999</c:v>
                </c:pt>
                <c:pt idx="7">
                  <c:v>29.375</c:v>
                </c:pt>
                <c:pt idx="8">
                  <c:v>26.71875</c:v>
                </c:pt>
                <c:pt idx="9">
                  <c:v>23.515625</c:v>
                </c:pt>
                <c:pt idx="10">
                  <c:v>21.630000000000003</c:v>
                </c:pt>
                <c:pt idx="11">
                  <c:v>20.625</c:v>
                </c:pt>
                <c:pt idx="12">
                  <c:v>20.221975</c:v>
                </c:pt>
                <c:pt idx="13">
                  <c:v>17.836975000000002</c:v>
                </c:pt>
                <c:pt idx="14">
                  <c:v>16.282131250000003</c:v>
                </c:pt>
                <c:pt idx="15">
                  <c:v>14.797600000000001</c:v>
                </c:pt>
                <c:pt idx="16">
                  <c:v>13.383381250000001</c:v>
                </c:pt>
                <c:pt idx="17">
                  <c:v>11.844787500000001</c:v>
                </c:pt>
                <c:pt idx="18">
                  <c:v>10.621975000000001</c:v>
                </c:pt>
                <c:pt idx="19">
                  <c:v>9.9268968750000006</c:v>
                </c:pt>
                <c:pt idx="20">
                  <c:v>9.2552562500000022</c:v>
                </c:pt>
                <c:pt idx="21">
                  <c:v>8.5351000000000017</c:v>
                </c:pt>
                <c:pt idx="22">
                  <c:v>7.9992000000000001</c:v>
                </c:pt>
                <c:pt idx="23">
                  <c:v>6.9283500000000018</c:v>
                </c:pt>
                <c:pt idx="24">
                  <c:v>7.09765625</c:v>
                </c:pt>
                <c:pt idx="25">
                  <c:v>6.63415</c:v>
                </c:pt>
                <c:pt idx="26">
                  <c:v>6.4263999999999992</c:v>
                </c:pt>
                <c:pt idx="27">
                  <c:v>6.2633999999999999</c:v>
                </c:pt>
                <c:pt idx="28">
                  <c:v>5.6963999999999997</c:v>
                </c:pt>
                <c:pt idx="29">
                  <c:v>5.2224000000000004</c:v>
                </c:pt>
                <c:pt idx="30">
                  <c:v>4.9127999999999998</c:v>
                </c:pt>
                <c:pt idx="31">
                  <c:v>4.4974999999999996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2-4297-8867-CC4EA96F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833167"/>
        <c:axId val="1606833647"/>
      </c:lineChart>
      <c:catAx>
        <c:axId val="1606833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833647"/>
        <c:crosses val="autoZero"/>
        <c:auto val="1"/>
        <c:lblAlgn val="ctr"/>
        <c:lblOffset val="100"/>
        <c:noMultiLvlLbl val="0"/>
      </c:catAx>
      <c:valAx>
        <c:axId val="16068336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83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Length/width/area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580927384076992E-2"/>
          <c:y val="0.19486111111111112"/>
          <c:w val="0.90297462817147855"/>
          <c:h val="0.721258019830854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AncientBourdon!$AD$3:$AD$34</c:f>
              <c:numCache>
                <c:formatCode>General</c:formatCode>
                <c:ptCount val="32"/>
                <c:pt idx="0">
                  <c:v>9.75</c:v>
                </c:pt>
                <c:pt idx="1">
                  <c:v>9.5</c:v>
                </c:pt>
                <c:pt idx="2">
                  <c:v>9.1</c:v>
                </c:pt>
                <c:pt idx="3">
                  <c:v>8.75</c:v>
                </c:pt>
                <c:pt idx="4">
                  <c:v>8.375</c:v>
                </c:pt>
                <c:pt idx="5">
                  <c:v>8.125</c:v>
                </c:pt>
                <c:pt idx="6">
                  <c:v>7.75</c:v>
                </c:pt>
                <c:pt idx="7">
                  <c:v>7.375</c:v>
                </c:pt>
                <c:pt idx="8">
                  <c:v>7.125</c:v>
                </c:pt>
                <c:pt idx="9">
                  <c:v>6.875</c:v>
                </c:pt>
                <c:pt idx="10">
                  <c:v>6.65</c:v>
                </c:pt>
                <c:pt idx="11">
                  <c:v>6.5</c:v>
                </c:pt>
                <c:pt idx="12">
                  <c:v>6.25</c:v>
                </c:pt>
                <c:pt idx="13">
                  <c:v>5.875</c:v>
                </c:pt>
                <c:pt idx="14">
                  <c:v>5.6875</c:v>
                </c:pt>
                <c:pt idx="15">
                  <c:v>5.5</c:v>
                </c:pt>
                <c:pt idx="16">
                  <c:v>5.3125</c:v>
                </c:pt>
                <c:pt idx="17">
                  <c:v>5.0625</c:v>
                </c:pt>
                <c:pt idx="18">
                  <c:v>4.8125</c:v>
                </c:pt>
                <c:pt idx="19">
                  <c:v>4.6875</c:v>
                </c:pt>
                <c:pt idx="20">
                  <c:v>4.5625</c:v>
                </c:pt>
                <c:pt idx="21">
                  <c:v>4.375</c:v>
                </c:pt>
                <c:pt idx="22">
                  <c:v>4.17</c:v>
                </c:pt>
                <c:pt idx="23">
                  <c:v>4</c:v>
                </c:pt>
                <c:pt idx="24">
                  <c:v>3.875</c:v>
                </c:pt>
                <c:pt idx="25">
                  <c:v>3.75</c:v>
                </c:pt>
                <c:pt idx="26">
                  <c:v>3.75</c:v>
                </c:pt>
                <c:pt idx="27">
                  <c:v>3.9</c:v>
                </c:pt>
                <c:pt idx="28">
                  <c:v>3.8</c:v>
                </c:pt>
                <c:pt idx="29">
                  <c:v>3.7</c:v>
                </c:pt>
                <c:pt idx="30">
                  <c:v>3.65</c:v>
                </c:pt>
                <c:pt idx="31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A-4CBB-AB27-EB2F8CA916FA}"/>
            </c:ext>
          </c:extLst>
        </c:ser>
        <c:ser>
          <c:idx val="1"/>
          <c:order val="1"/>
          <c:tx>
            <c:v>Series2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AncientBourdon!$AF$3:$AF$34</c:f>
              <c:numCache>
                <c:formatCode>General</c:formatCode>
                <c:ptCount val="32"/>
                <c:pt idx="0">
                  <c:v>8.75</c:v>
                </c:pt>
                <c:pt idx="1">
                  <c:v>8.25</c:v>
                </c:pt>
                <c:pt idx="2">
                  <c:v>8</c:v>
                </c:pt>
                <c:pt idx="3">
                  <c:v>7.625</c:v>
                </c:pt>
                <c:pt idx="4">
                  <c:v>7.5</c:v>
                </c:pt>
                <c:pt idx="5">
                  <c:v>7.125</c:v>
                </c:pt>
                <c:pt idx="6">
                  <c:v>6.8125</c:v>
                </c:pt>
                <c:pt idx="7">
                  <c:v>6.5</c:v>
                </c:pt>
                <c:pt idx="8">
                  <c:v>6.25</c:v>
                </c:pt>
                <c:pt idx="9">
                  <c:v>5.875</c:v>
                </c:pt>
                <c:pt idx="10">
                  <c:v>5.7</c:v>
                </c:pt>
                <c:pt idx="11">
                  <c:v>5.625</c:v>
                </c:pt>
                <c:pt idx="12">
                  <c:v>5.3125</c:v>
                </c:pt>
                <c:pt idx="13">
                  <c:v>5.125</c:v>
                </c:pt>
                <c:pt idx="14">
                  <c:v>4.9375</c:v>
                </c:pt>
                <c:pt idx="15">
                  <c:v>4.75</c:v>
                </c:pt>
                <c:pt idx="16">
                  <c:v>4.5625</c:v>
                </c:pt>
                <c:pt idx="17">
                  <c:v>4.375</c:v>
                </c:pt>
                <c:pt idx="18">
                  <c:v>4.25</c:v>
                </c:pt>
                <c:pt idx="19">
                  <c:v>4.15625</c:v>
                </c:pt>
                <c:pt idx="20">
                  <c:v>4.0625</c:v>
                </c:pt>
                <c:pt idx="21">
                  <c:v>4</c:v>
                </c:pt>
                <c:pt idx="22">
                  <c:v>3.78</c:v>
                </c:pt>
                <c:pt idx="23">
                  <c:v>3.5625</c:v>
                </c:pt>
                <c:pt idx="24">
                  <c:v>3.46875</c:v>
                </c:pt>
                <c:pt idx="25">
                  <c:v>3.375</c:v>
                </c:pt>
                <c:pt idx="26">
                  <c:v>3.3</c:v>
                </c:pt>
                <c:pt idx="27">
                  <c:v>3.125</c:v>
                </c:pt>
                <c:pt idx="28">
                  <c:v>3</c:v>
                </c:pt>
                <c:pt idx="29">
                  <c:v>2.9</c:v>
                </c:pt>
                <c:pt idx="30">
                  <c:v>2.82</c:v>
                </c:pt>
                <c:pt idx="31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CA-4CBB-AB27-EB2F8CA9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870672"/>
        <c:axId val="701873072"/>
      </c:lineChart>
      <c:lineChart>
        <c:grouping val="standard"/>
        <c:varyColors val="0"/>
        <c:ser>
          <c:idx val="2"/>
          <c:order val="2"/>
          <c:tx>
            <c:v>Area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AncientBourdon!$BA$3:$BA$34</c:f>
              <c:numCache>
                <c:formatCode>General</c:formatCode>
                <c:ptCount val="32"/>
                <c:pt idx="0">
                  <c:v>56.752500000000005</c:v>
                </c:pt>
                <c:pt idx="1">
                  <c:v>51.089999999999996</c:v>
                </c:pt>
                <c:pt idx="2">
                  <c:v>46.62</c:v>
                </c:pt>
                <c:pt idx="3">
                  <c:v>41.771249999999995</c:v>
                </c:pt>
                <c:pt idx="4">
                  <c:v>38.714999999999996</c:v>
                </c:pt>
                <c:pt idx="5">
                  <c:v>34.855624999999996</c:v>
                </c:pt>
                <c:pt idx="6">
                  <c:v>30.930624999999999</c:v>
                </c:pt>
                <c:pt idx="7">
                  <c:v>29.375</c:v>
                </c:pt>
                <c:pt idx="8">
                  <c:v>26.71875</c:v>
                </c:pt>
                <c:pt idx="9">
                  <c:v>23.515625</c:v>
                </c:pt>
                <c:pt idx="10">
                  <c:v>21.630000000000003</c:v>
                </c:pt>
                <c:pt idx="11">
                  <c:v>20.625</c:v>
                </c:pt>
                <c:pt idx="12">
                  <c:v>20.221975</c:v>
                </c:pt>
                <c:pt idx="13">
                  <c:v>17.836975000000002</c:v>
                </c:pt>
                <c:pt idx="14">
                  <c:v>16.282131250000003</c:v>
                </c:pt>
                <c:pt idx="15">
                  <c:v>14.797600000000001</c:v>
                </c:pt>
                <c:pt idx="16">
                  <c:v>13.383381250000001</c:v>
                </c:pt>
                <c:pt idx="17">
                  <c:v>11.844787500000001</c:v>
                </c:pt>
                <c:pt idx="18">
                  <c:v>10.621975000000001</c:v>
                </c:pt>
                <c:pt idx="19">
                  <c:v>9.9268968750000006</c:v>
                </c:pt>
                <c:pt idx="20">
                  <c:v>9.2552562500000022</c:v>
                </c:pt>
                <c:pt idx="21">
                  <c:v>8.5351000000000017</c:v>
                </c:pt>
                <c:pt idx="22">
                  <c:v>7.9992000000000001</c:v>
                </c:pt>
                <c:pt idx="23">
                  <c:v>6.9283500000000018</c:v>
                </c:pt>
                <c:pt idx="24">
                  <c:v>7.09765625</c:v>
                </c:pt>
                <c:pt idx="25">
                  <c:v>6.63415</c:v>
                </c:pt>
                <c:pt idx="26">
                  <c:v>6.4263999999999992</c:v>
                </c:pt>
                <c:pt idx="27">
                  <c:v>6.2633999999999999</c:v>
                </c:pt>
                <c:pt idx="28">
                  <c:v>5.6963999999999997</c:v>
                </c:pt>
                <c:pt idx="29">
                  <c:v>5.2224000000000004</c:v>
                </c:pt>
                <c:pt idx="30">
                  <c:v>4.9127999999999998</c:v>
                </c:pt>
                <c:pt idx="31">
                  <c:v>4.4974999999999996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CA-4CBB-AB27-EB2F8CA9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915152"/>
        <c:axId val="691914672"/>
      </c:lineChart>
      <c:catAx>
        <c:axId val="70187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73072"/>
        <c:crosses val="autoZero"/>
        <c:auto val="1"/>
        <c:lblAlgn val="ctr"/>
        <c:lblOffset val="100"/>
        <c:noMultiLvlLbl val="0"/>
      </c:catAx>
      <c:valAx>
        <c:axId val="7018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70672"/>
        <c:crosses val="autoZero"/>
        <c:crossBetween val="between"/>
      </c:valAx>
      <c:valAx>
        <c:axId val="691914672"/>
        <c:scaling>
          <c:logBase val="10"/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915152"/>
        <c:crosses val="max"/>
        <c:crossBetween val="between"/>
      </c:valAx>
      <c:catAx>
        <c:axId val="691915152"/>
        <c:scaling>
          <c:orientation val="minMax"/>
        </c:scaling>
        <c:delete val="1"/>
        <c:axPos val="b"/>
        <c:majorTickMark val="out"/>
        <c:minorTickMark val="none"/>
        <c:tickLblPos val="nextTo"/>
        <c:crossAx val="691914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400050</xdr:colOff>
      <xdr:row>41</xdr:row>
      <xdr:rowOff>176212</xdr:rowOff>
    </xdr:from>
    <xdr:to>
      <xdr:col>50</xdr:col>
      <xdr:colOff>19050</xdr:colOff>
      <xdr:row>68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8069C-817F-F3A7-A5AB-E6F044A83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180975</xdr:colOff>
      <xdr:row>41</xdr:row>
      <xdr:rowOff>100011</xdr:rowOff>
    </xdr:from>
    <xdr:to>
      <xdr:col>61</xdr:col>
      <xdr:colOff>276225</xdr:colOff>
      <xdr:row>68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B1E85-9F50-FA17-610B-92A66AACF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314325</xdr:colOff>
      <xdr:row>51</xdr:row>
      <xdr:rowOff>42862</xdr:rowOff>
    </xdr:from>
    <xdr:to>
      <xdr:col>37</xdr:col>
      <xdr:colOff>1409700</xdr:colOff>
      <xdr:row>79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E9ABAE-4C28-1B48-11B2-4FD185636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7290-01E5-4E05-B352-740C200D9C05}">
  <dimension ref="A1:BJ35"/>
  <sheetViews>
    <sheetView tabSelected="1" workbookViewId="0">
      <pane xSplit="1" topLeftCell="N1" activePane="topRight" state="frozen"/>
      <selection pane="topRight" activeCell="B3" sqref="B3:AP34"/>
    </sheetView>
  </sheetViews>
  <sheetFormatPr defaultRowHeight="15" x14ac:dyDescent="0.25"/>
  <cols>
    <col min="2" max="2" width="14.85546875" customWidth="1"/>
    <col min="3" max="3" width="12.85546875" customWidth="1"/>
    <col min="4" max="4" width="12.5703125" customWidth="1"/>
    <col min="5" max="5" width="19.140625" customWidth="1"/>
    <col min="6" max="6" width="22.28515625" customWidth="1"/>
    <col min="7" max="7" width="18.28515625" customWidth="1"/>
    <col min="8" max="8" width="23.140625" customWidth="1"/>
    <col min="9" max="9" width="25.28515625" customWidth="1"/>
    <col min="10" max="10" width="19.140625" customWidth="1"/>
    <col min="11" max="11" width="16.140625" customWidth="1"/>
    <col min="12" max="12" width="22.5703125" customWidth="1"/>
    <col min="13" max="13" width="22" customWidth="1"/>
    <col min="14" max="14" width="22.7109375" customWidth="1"/>
    <col min="15" max="15" width="17.5703125" customWidth="1"/>
    <col min="16" max="17" width="19.28515625" customWidth="1"/>
    <col min="18" max="18" width="24.85546875" customWidth="1"/>
    <col min="19" max="19" width="18.7109375" customWidth="1"/>
    <col min="20" max="20" width="17.5703125" customWidth="1"/>
    <col min="21" max="21" width="14.85546875" customWidth="1"/>
    <col min="23" max="23" width="17.42578125" customWidth="1"/>
    <col min="24" max="24" width="16.85546875" customWidth="1"/>
    <col min="25" max="25" width="20.140625" customWidth="1"/>
    <col min="27" max="27" width="19.5703125" customWidth="1"/>
    <col min="28" max="28" width="18.5703125" customWidth="1"/>
    <col min="29" max="29" width="18.85546875" customWidth="1"/>
    <col min="30" max="30" width="14.7109375" customWidth="1"/>
    <col min="34" max="35" width="25.85546875" customWidth="1"/>
    <col min="36" max="36" width="25.28515625" customWidth="1"/>
    <col min="37" max="37" width="22.28515625" customWidth="1"/>
    <col min="38" max="38" width="24.7109375" customWidth="1"/>
    <col min="39" max="39" width="21.7109375" customWidth="1"/>
    <col min="40" max="40" width="18" customWidth="1"/>
    <col min="55" max="55" width="11.42578125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88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Y1" t="s">
        <v>78</v>
      </c>
      <c r="AZ1" t="s">
        <v>79</v>
      </c>
      <c r="BA1" t="s">
        <v>80</v>
      </c>
      <c r="BC1" t="s">
        <v>81</v>
      </c>
      <c r="BD1" t="s">
        <v>82</v>
      </c>
      <c r="BE1" t="s">
        <v>83</v>
      </c>
      <c r="BG1" t="s">
        <v>84</v>
      </c>
      <c r="BH1" t="s">
        <v>85</v>
      </c>
      <c r="BI1" t="s">
        <v>86</v>
      </c>
      <c r="BJ1" t="s">
        <v>87</v>
      </c>
    </row>
    <row r="3" spans="1:62" x14ac:dyDescent="0.25">
      <c r="A3" t="s">
        <v>41</v>
      </c>
      <c r="B3" s="1">
        <f>AG3</f>
        <v>0.85</v>
      </c>
      <c r="C3">
        <v>4.875</v>
      </c>
      <c r="D3" s="2">
        <v>0.88</v>
      </c>
      <c r="E3">
        <v>1.71</v>
      </c>
      <c r="F3">
        <v>2.64</v>
      </c>
      <c r="G3" s="1">
        <f t="shared" ref="G3:G34" si="0">E3</f>
        <v>1.71</v>
      </c>
      <c r="H3">
        <v>3.42</v>
      </c>
      <c r="I3" s="2">
        <v>3.85</v>
      </c>
      <c r="J3" s="2">
        <v>6</v>
      </c>
      <c r="K3" s="2">
        <v>0.4</v>
      </c>
      <c r="L3" s="2">
        <v>1</v>
      </c>
      <c r="M3">
        <v>2.2599999999999998</v>
      </c>
      <c r="N3" s="1">
        <f>E3</f>
        <v>1.71</v>
      </c>
      <c r="O3">
        <v>2.64</v>
      </c>
      <c r="P3">
        <v>8</v>
      </c>
      <c r="Q3" s="1">
        <f t="shared" ref="Q3:Q34" si="1">M3</f>
        <v>2.2599999999999998</v>
      </c>
      <c r="R3" s="17">
        <v>1.5</v>
      </c>
      <c r="S3" s="17">
        <v>1.5</v>
      </c>
      <c r="T3" s="1">
        <f>AG3</f>
        <v>0.85</v>
      </c>
      <c r="U3" s="2">
        <v>0.44</v>
      </c>
      <c r="V3" s="2">
        <v>2.16</v>
      </c>
      <c r="W3" s="2">
        <v>0.85</v>
      </c>
      <c r="X3" s="2">
        <v>3.66</v>
      </c>
      <c r="Y3">
        <v>21</v>
      </c>
      <c r="Z3" s="2">
        <v>1.5</v>
      </c>
      <c r="AA3" s="17">
        <f>AF3*0.377</f>
        <v>3.2987500000000001</v>
      </c>
      <c r="AB3" s="1">
        <f t="shared" ref="AB3:AB35" si="2">AA3</f>
        <v>3.2987500000000001</v>
      </c>
      <c r="AC3" s="1">
        <f t="shared" ref="AC3:AC35" si="3">AF3-(AG3*2)</f>
        <v>7.05</v>
      </c>
      <c r="AD3">
        <v>9.75</v>
      </c>
      <c r="AE3">
        <v>87.25</v>
      </c>
      <c r="AF3">
        <v>8.75</v>
      </c>
      <c r="AG3" s="2">
        <v>0.85</v>
      </c>
      <c r="AH3" s="2">
        <v>1.75</v>
      </c>
      <c r="AI3" s="2">
        <v>1.1000000000000001</v>
      </c>
      <c r="AJ3" s="2">
        <v>4.7</v>
      </c>
      <c r="AK3" s="2">
        <v>1</v>
      </c>
      <c r="AL3" s="2">
        <v>0.1</v>
      </c>
      <c r="AM3" s="2">
        <v>1.62</v>
      </c>
      <c r="AN3" s="17">
        <f>AG3*0.8</f>
        <v>0.68</v>
      </c>
      <c r="AO3">
        <f>AG3*4.18</f>
        <v>3.5529999999999995</v>
      </c>
      <c r="AP3">
        <v>1</v>
      </c>
      <c r="AS3">
        <f t="shared" ref="AS3:AS35" si="4">AD3/AF3</f>
        <v>1.1142857142857143</v>
      </c>
      <c r="AT3">
        <v>0</v>
      </c>
      <c r="AU3">
        <f>8*12</f>
        <v>96</v>
      </c>
      <c r="AW3" s="11"/>
      <c r="AY3">
        <f>AF3-(2*AG3)</f>
        <v>7.05</v>
      </c>
      <c r="AZ3">
        <f>AD3-(T3+B3)</f>
        <v>8.0500000000000007</v>
      </c>
      <c r="BA3">
        <f>AY3*AZ3</f>
        <v>56.752500000000005</v>
      </c>
      <c r="BB3">
        <f>BC3</f>
        <v>8.5</v>
      </c>
      <c r="BC3">
        <f>ROUND(2*SQRT(BA3/3.14157),2)</f>
        <v>8.5</v>
      </c>
      <c r="BE3">
        <f>ROUND(BC3-BB3,1)</f>
        <v>0</v>
      </c>
      <c r="BG3">
        <f>Y3+V3</f>
        <v>23.16</v>
      </c>
      <c r="BH3">
        <f>AE3+(P3-L3)</f>
        <v>94.25</v>
      </c>
      <c r="BI3">
        <f>AE3-BG3</f>
        <v>64.09</v>
      </c>
      <c r="BJ3">
        <f>BH3-BG3</f>
        <v>71.09</v>
      </c>
    </row>
    <row r="4" spans="1:62" x14ac:dyDescent="0.25">
      <c r="A4" t="s">
        <v>42</v>
      </c>
      <c r="B4" s="1">
        <f t="shared" ref="B4:B34" si="5">AG4</f>
        <v>0.85</v>
      </c>
      <c r="C4">
        <v>4.875</v>
      </c>
      <c r="D4" s="2">
        <v>0.88</v>
      </c>
      <c r="E4">
        <v>1.71</v>
      </c>
      <c r="F4">
        <v>2.64</v>
      </c>
      <c r="G4" s="1">
        <f t="shared" si="0"/>
        <v>1.71</v>
      </c>
      <c r="H4">
        <v>3.42</v>
      </c>
      <c r="I4" s="2">
        <v>3.85</v>
      </c>
      <c r="J4" s="2">
        <v>6</v>
      </c>
      <c r="K4" s="2">
        <v>0.4</v>
      </c>
      <c r="L4" s="2">
        <v>1</v>
      </c>
      <c r="M4">
        <v>2.2599999999999998</v>
      </c>
      <c r="N4" s="1">
        <f t="shared" ref="N4:N34" si="6">E4</f>
        <v>1.71</v>
      </c>
      <c r="O4">
        <v>2.64</v>
      </c>
      <c r="P4">
        <v>8</v>
      </c>
      <c r="Q4" s="1">
        <f t="shared" si="1"/>
        <v>2.2599999999999998</v>
      </c>
      <c r="R4" s="17">
        <v>1.5</v>
      </c>
      <c r="S4" s="17">
        <v>1.5</v>
      </c>
      <c r="T4" s="1">
        <f t="shared" ref="T4:T34" si="7">AG4</f>
        <v>0.85</v>
      </c>
      <c r="U4" s="2">
        <v>0.44</v>
      </c>
      <c r="V4" s="2">
        <v>2.16</v>
      </c>
      <c r="W4" s="2">
        <v>0.85</v>
      </c>
      <c r="X4" s="2">
        <v>3.66</v>
      </c>
      <c r="Y4">
        <v>24</v>
      </c>
      <c r="Z4" s="2">
        <v>1.5</v>
      </c>
      <c r="AA4" s="17">
        <f t="shared" ref="AA4:AA5" si="8">AF4*0.377</f>
        <v>3.1102500000000002</v>
      </c>
      <c r="AB4" s="1">
        <f t="shared" si="2"/>
        <v>3.1102500000000002</v>
      </c>
      <c r="AC4" s="1">
        <f t="shared" si="3"/>
        <v>6.55</v>
      </c>
      <c r="AD4">
        <v>9.5</v>
      </c>
      <c r="AE4">
        <v>86.25</v>
      </c>
      <c r="AF4">
        <v>8.25</v>
      </c>
      <c r="AG4" s="2">
        <v>0.85</v>
      </c>
      <c r="AH4" s="2">
        <v>1.75</v>
      </c>
      <c r="AI4" s="2">
        <v>1.1000000000000001</v>
      </c>
      <c r="AJ4" s="2">
        <v>4.7</v>
      </c>
      <c r="AK4" s="2">
        <v>1</v>
      </c>
      <c r="AL4" s="2">
        <v>0.1</v>
      </c>
      <c r="AM4" s="2">
        <v>1.62</v>
      </c>
      <c r="AN4" s="17">
        <f t="shared" ref="AN4:AN5" si="9">AG4*0.8</f>
        <v>0.68</v>
      </c>
      <c r="AO4">
        <f t="shared" ref="AO4:AO5" si="10">AG4*4.18</f>
        <v>3.5529999999999995</v>
      </c>
      <c r="AP4">
        <v>1</v>
      </c>
      <c r="AS4">
        <f t="shared" si="4"/>
        <v>1.1515151515151516</v>
      </c>
      <c r="AT4">
        <v>1</v>
      </c>
      <c r="AU4">
        <f>ROUND($AU$3 * POWER(2,-AT4/12),2)</f>
        <v>90.61</v>
      </c>
      <c r="AY4">
        <f t="shared" ref="AY4:AY34" si="11">AF4-(2*AG4)</f>
        <v>6.55</v>
      </c>
      <c r="AZ4">
        <f t="shared" ref="AZ4:AZ34" si="12">AD4-(T4+B4)</f>
        <v>7.8</v>
      </c>
      <c r="BA4">
        <f t="shared" ref="BA4:BA34" si="13">AY4*AZ4</f>
        <v>51.089999999999996</v>
      </c>
      <c r="BB4">
        <f t="shared" ref="BB4:BB34" si="14">ROUND($BC$3*POWER(2,-AT4/BD4),2)</f>
        <v>8.09</v>
      </c>
      <c r="BC4">
        <f t="shared" ref="BC4:BC34" si="15">ROUND(2*SQRT(BA4/3.14157),2)</f>
        <v>8.07</v>
      </c>
      <c r="BD4">
        <v>14</v>
      </c>
      <c r="BE4">
        <f t="shared" ref="BE4:BE34" si="16">ROUND(BC4-BB4,1)</f>
        <v>0</v>
      </c>
      <c r="BG4">
        <f t="shared" ref="BG4:BG34" si="17">Y4+V4</f>
        <v>26.16</v>
      </c>
      <c r="BH4">
        <f t="shared" ref="BH4:BH34" si="18">AE4+(P4-L4)</f>
        <v>93.25</v>
      </c>
      <c r="BI4">
        <f t="shared" ref="BI4:BI34" si="19">AE4-BG4</f>
        <v>60.09</v>
      </c>
      <c r="BJ4">
        <f t="shared" ref="BJ4:BJ34" si="20">BH4-BG4</f>
        <v>67.09</v>
      </c>
    </row>
    <row r="5" spans="1:62" x14ac:dyDescent="0.25">
      <c r="A5" t="s">
        <v>43</v>
      </c>
      <c r="B5" s="1">
        <f t="shared" si="5"/>
        <v>0.85</v>
      </c>
      <c r="C5">
        <v>4.875</v>
      </c>
      <c r="D5" s="2">
        <v>0.88</v>
      </c>
      <c r="E5">
        <v>1.71</v>
      </c>
      <c r="F5">
        <v>2.64</v>
      </c>
      <c r="G5" s="1">
        <f t="shared" si="0"/>
        <v>1.71</v>
      </c>
      <c r="H5">
        <v>3.42</v>
      </c>
      <c r="I5" s="2">
        <v>3.85</v>
      </c>
      <c r="J5" s="2">
        <v>6</v>
      </c>
      <c r="K5" s="2">
        <v>0.4</v>
      </c>
      <c r="L5" s="2">
        <v>1</v>
      </c>
      <c r="M5">
        <v>2.2599999999999998</v>
      </c>
      <c r="N5" s="1">
        <f t="shared" si="6"/>
        <v>1.71</v>
      </c>
      <c r="O5">
        <v>2.64</v>
      </c>
      <c r="P5">
        <v>8</v>
      </c>
      <c r="Q5" s="1">
        <f t="shared" si="1"/>
        <v>2.2599999999999998</v>
      </c>
      <c r="R5" s="17">
        <v>1.5</v>
      </c>
      <c r="S5" s="17">
        <v>1.5</v>
      </c>
      <c r="T5" s="1">
        <f t="shared" si="7"/>
        <v>0.85</v>
      </c>
      <c r="U5" s="2">
        <v>0.44</v>
      </c>
      <c r="V5" s="2">
        <v>2.16</v>
      </c>
      <c r="W5" s="2">
        <v>0.85</v>
      </c>
      <c r="X5" s="2">
        <v>3.66</v>
      </c>
      <c r="Y5">
        <f>22+7/8</f>
        <v>22.875</v>
      </c>
      <c r="Z5" s="2">
        <v>1.5</v>
      </c>
      <c r="AA5" s="17">
        <f t="shared" si="8"/>
        <v>3.016</v>
      </c>
      <c r="AB5" s="1">
        <f t="shared" si="2"/>
        <v>3.016</v>
      </c>
      <c r="AC5" s="1">
        <f t="shared" si="3"/>
        <v>6.3</v>
      </c>
      <c r="AD5">
        <v>9.1</v>
      </c>
      <c r="AE5">
        <v>81.25</v>
      </c>
      <c r="AF5">
        <v>8</v>
      </c>
      <c r="AG5" s="2">
        <v>0.85</v>
      </c>
      <c r="AH5" s="2">
        <v>1.75</v>
      </c>
      <c r="AI5" s="2">
        <v>1.1000000000000001</v>
      </c>
      <c r="AJ5" s="2">
        <v>4.7</v>
      </c>
      <c r="AK5" s="2">
        <v>1</v>
      </c>
      <c r="AL5" s="2">
        <v>0.1</v>
      </c>
      <c r="AM5" s="2">
        <v>1.62</v>
      </c>
      <c r="AN5" s="17">
        <f t="shared" si="9"/>
        <v>0.68</v>
      </c>
      <c r="AO5">
        <f t="shared" si="10"/>
        <v>3.5529999999999995</v>
      </c>
      <c r="AP5">
        <v>1</v>
      </c>
      <c r="AS5">
        <f t="shared" si="4"/>
        <v>1.1375</v>
      </c>
      <c r="AT5">
        <v>2</v>
      </c>
      <c r="AU5">
        <f t="shared" ref="AU5:AU34" si="21">ROUND($AU$3 * POWER(2,-AT5/12),2)</f>
        <v>85.53</v>
      </c>
      <c r="AY5">
        <f t="shared" si="11"/>
        <v>6.3</v>
      </c>
      <c r="AZ5">
        <f t="shared" si="12"/>
        <v>7.3999999999999995</v>
      </c>
      <c r="BA5">
        <f t="shared" si="13"/>
        <v>46.62</v>
      </c>
      <c r="BB5">
        <f t="shared" si="14"/>
        <v>7.7</v>
      </c>
      <c r="BC5">
        <f t="shared" si="15"/>
        <v>7.7</v>
      </c>
      <c r="BD5">
        <v>14</v>
      </c>
      <c r="BE5">
        <f t="shared" si="16"/>
        <v>0</v>
      </c>
      <c r="BG5">
        <f t="shared" si="17"/>
        <v>25.035</v>
      </c>
      <c r="BH5">
        <f t="shared" si="18"/>
        <v>88.25</v>
      </c>
      <c r="BI5">
        <f t="shared" si="19"/>
        <v>56.215000000000003</v>
      </c>
      <c r="BJ5">
        <f t="shared" si="20"/>
        <v>63.215000000000003</v>
      </c>
    </row>
    <row r="6" spans="1:62" x14ac:dyDescent="0.25">
      <c r="A6" t="s">
        <v>44</v>
      </c>
      <c r="B6" s="1">
        <f t="shared" si="5"/>
        <v>0.85</v>
      </c>
      <c r="C6">
        <v>4.875</v>
      </c>
      <c r="D6" s="2">
        <v>0.88</v>
      </c>
      <c r="E6">
        <v>1.71</v>
      </c>
      <c r="F6">
        <v>2.64</v>
      </c>
      <c r="G6" s="1">
        <f>E6</f>
        <v>1.71</v>
      </c>
      <c r="H6">
        <v>3.42</v>
      </c>
      <c r="I6" s="2">
        <v>3.85</v>
      </c>
      <c r="J6" s="2">
        <v>6</v>
      </c>
      <c r="K6" s="2">
        <v>0.4</v>
      </c>
      <c r="L6" s="2">
        <v>1</v>
      </c>
      <c r="M6">
        <v>2.2599999999999998</v>
      </c>
      <c r="N6" s="1">
        <f t="shared" si="6"/>
        <v>1.71</v>
      </c>
      <c r="O6">
        <v>2.64</v>
      </c>
      <c r="P6">
        <v>8</v>
      </c>
      <c r="Q6" s="1">
        <f>M6</f>
        <v>2.2599999999999998</v>
      </c>
      <c r="R6">
        <v>1.19</v>
      </c>
      <c r="S6">
        <v>2.66</v>
      </c>
      <c r="T6" s="1">
        <f t="shared" si="7"/>
        <v>0.85</v>
      </c>
      <c r="U6" s="2">
        <v>0.44</v>
      </c>
      <c r="V6" s="2">
        <v>2.16</v>
      </c>
      <c r="W6" s="2">
        <v>0.85</v>
      </c>
      <c r="X6" s="2">
        <v>3.66</v>
      </c>
      <c r="Y6">
        <v>32.25</v>
      </c>
      <c r="Z6" s="2">
        <v>1.5</v>
      </c>
      <c r="AA6" s="17">
        <v>2.875</v>
      </c>
      <c r="AB6" s="1">
        <f>AA6</f>
        <v>2.875</v>
      </c>
      <c r="AC6" s="1">
        <f>AF6-(AG6*2)</f>
        <v>5.9249999999999998</v>
      </c>
      <c r="AD6">
        <v>8.75</v>
      </c>
      <c r="AE6">
        <v>86.75</v>
      </c>
      <c r="AF6">
        <f>7+5/8</f>
        <v>7.625</v>
      </c>
      <c r="AG6" s="2">
        <v>0.85</v>
      </c>
      <c r="AH6" s="2">
        <v>1.75</v>
      </c>
      <c r="AI6" s="2">
        <v>1.1000000000000001</v>
      </c>
      <c r="AJ6" s="2">
        <v>4.7</v>
      </c>
      <c r="AK6" s="2">
        <v>1</v>
      </c>
      <c r="AL6" s="2">
        <v>0.1</v>
      </c>
      <c r="AM6" s="2">
        <v>1.62</v>
      </c>
      <c r="AN6">
        <v>0.68</v>
      </c>
      <c r="AO6">
        <v>3.55</v>
      </c>
      <c r="AP6">
        <v>1</v>
      </c>
      <c r="AS6">
        <f>AD6/AF6</f>
        <v>1.1475409836065573</v>
      </c>
      <c r="AT6">
        <v>3</v>
      </c>
      <c r="AU6">
        <f t="shared" si="21"/>
        <v>80.73</v>
      </c>
      <c r="AV6">
        <f t="shared" ref="AV6:AV34" si="22">AE6-C6</f>
        <v>81.875</v>
      </c>
      <c r="AW6">
        <f>AV6-AU6</f>
        <v>1.144999999999996</v>
      </c>
      <c r="AY6">
        <f t="shared" si="11"/>
        <v>5.9249999999999998</v>
      </c>
      <c r="AZ6">
        <f t="shared" si="12"/>
        <v>7.05</v>
      </c>
      <c r="BA6">
        <f t="shared" si="13"/>
        <v>41.771249999999995</v>
      </c>
      <c r="BB6">
        <f t="shared" si="14"/>
        <v>7.24</v>
      </c>
      <c r="BC6">
        <f t="shared" si="15"/>
        <v>7.29</v>
      </c>
      <c r="BD6">
        <v>13</v>
      </c>
      <c r="BE6">
        <f t="shared" si="16"/>
        <v>0</v>
      </c>
      <c r="BG6">
        <f t="shared" si="17"/>
        <v>34.409999999999997</v>
      </c>
      <c r="BH6">
        <f t="shared" si="18"/>
        <v>93.75</v>
      </c>
      <c r="BI6">
        <f t="shared" si="19"/>
        <v>52.34</v>
      </c>
      <c r="BJ6">
        <f t="shared" si="20"/>
        <v>59.34</v>
      </c>
    </row>
    <row r="7" spans="1:62" x14ac:dyDescent="0.25">
      <c r="A7" t="s">
        <v>45</v>
      </c>
      <c r="B7" s="1">
        <f t="shared" si="5"/>
        <v>0.85</v>
      </c>
      <c r="C7">
        <v>4.875</v>
      </c>
      <c r="D7" s="2">
        <v>0.88</v>
      </c>
      <c r="E7" s="17">
        <f>AF7*0.224</f>
        <v>1.68</v>
      </c>
      <c r="F7" s="17">
        <f>E7+0.6</f>
        <v>2.2799999999999998</v>
      </c>
      <c r="G7" s="1">
        <f t="shared" si="0"/>
        <v>1.68</v>
      </c>
      <c r="H7" s="17">
        <f>(P7-1)/2</f>
        <v>3</v>
      </c>
      <c r="I7" s="2">
        <v>3.85</v>
      </c>
      <c r="J7" s="2">
        <v>6</v>
      </c>
      <c r="K7" s="2">
        <v>0.4</v>
      </c>
      <c r="L7" s="2">
        <v>1</v>
      </c>
      <c r="M7" s="17">
        <f>O7-0.4</f>
        <v>2.08</v>
      </c>
      <c r="N7" s="1">
        <f t="shared" si="6"/>
        <v>1.68</v>
      </c>
      <c r="O7" s="17">
        <f>E7+0.8</f>
        <v>2.48</v>
      </c>
      <c r="P7">
        <v>7</v>
      </c>
      <c r="Q7" s="1">
        <f t="shared" si="1"/>
        <v>2.08</v>
      </c>
      <c r="R7" s="17">
        <v>1.5</v>
      </c>
      <c r="S7" s="20">
        <v>1.5</v>
      </c>
      <c r="T7" s="1">
        <f t="shared" si="7"/>
        <v>0.85</v>
      </c>
      <c r="U7" s="2">
        <v>0.44</v>
      </c>
      <c r="V7" s="2">
        <v>2.16</v>
      </c>
      <c r="W7" s="2">
        <v>0.85</v>
      </c>
      <c r="X7" s="2">
        <v>3.66</v>
      </c>
      <c r="Y7">
        <v>31.25</v>
      </c>
      <c r="Z7" s="2">
        <v>1.5</v>
      </c>
      <c r="AA7" s="17">
        <f>AF7*0.377</f>
        <v>2.8275000000000001</v>
      </c>
      <c r="AB7" s="1">
        <f t="shared" si="2"/>
        <v>2.8275000000000001</v>
      </c>
      <c r="AC7" s="1">
        <f t="shared" si="3"/>
        <v>5.8</v>
      </c>
      <c r="AD7">
        <f>8+3/8</f>
        <v>8.375</v>
      </c>
      <c r="AE7">
        <v>84</v>
      </c>
      <c r="AF7">
        <v>7.5</v>
      </c>
      <c r="AG7" s="2">
        <v>0.85</v>
      </c>
      <c r="AH7" s="2">
        <v>1.75</v>
      </c>
      <c r="AI7" s="2">
        <v>1.1000000000000001</v>
      </c>
      <c r="AJ7" s="2">
        <v>4.7</v>
      </c>
      <c r="AK7" s="2">
        <v>1</v>
      </c>
      <c r="AL7" s="2">
        <v>0.1</v>
      </c>
      <c r="AM7" s="2">
        <v>1.62</v>
      </c>
      <c r="AN7" s="17">
        <f>AG7*0.8</f>
        <v>0.68</v>
      </c>
      <c r="AO7">
        <f>AG7*4.18</f>
        <v>3.5529999999999995</v>
      </c>
      <c r="AP7">
        <v>1</v>
      </c>
      <c r="AS7">
        <f t="shared" si="4"/>
        <v>1.1166666666666667</v>
      </c>
      <c r="AT7">
        <v>4</v>
      </c>
      <c r="AU7">
        <f t="shared" si="21"/>
        <v>76.2</v>
      </c>
      <c r="AV7">
        <f t="shared" si="22"/>
        <v>79.125</v>
      </c>
      <c r="AW7">
        <f t="shared" ref="AW7:AW34" si="23">AV7-AU7</f>
        <v>2.9249999999999972</v>
      </c>
      <c r="AY7">
        <f t="shared" si="11"/>
        <v>5.8</v>
      </c>
      <c r="AZ7">
        <f t="shared" si="12"/>
        <v>6.6749999999999998</v>
      </c>
      <c r="BA7">
        <f t="shared" si="13"/>
        <v>38.714999999999996</v>
      </c>
      <c r="BB7">
        <f t="shared" si="14"/>
        <v>7.02</v>
      </c>
      <c r="BC7">
        <f t="shared" si="15"/>
        <v>7.02</v>
      </c>
      <c r="BD7">
        <v>14.5</v>
      </c>
      <c r="BE7">
        <f t="shared" si="16"/>
        <v>0</v>
      </c>
      <c r="BG7">
        <f t="shared" si="17"/>
        <v>33.409999999999997</v>
      </c>
      <c r="BH7">
        <f t="shared" si="18"/>
        <v>90</v>
      </c>
      <c r="BI7">
        <f t="shared" si="19"/>
        <v>50.59</v>
      </c>
      <c r="BJ7">
        <f t="shared" si="20"/>
        <v>56.59</v>
      </c>
    </row>
    <row r="8" spans="1:62" x14ac:dyDescent="0.25">
      <c r="A8" t="s">
        <v>46</v>
      </c>
      <c r="B8" s="1">
        <f t="shared" si="5"/>
        <v>0.85</v>
      </c>
      <c r="C8">
        <v>4.875</v>
      </c>
      <c r="D8" s="2">
        <v>0.88</v>
      </c>
      <c r="E8" s="17">
        <f t="shared" ref="E8:E34" si="24">AF8*0.224</f>
        <v>1.5960000000000001</v>
      </c>
      <c r="F8" s="17">
        <f t="shared" ref="F8:F24" si="25">E8+0.6</f>
        <v>2.1960000000000002</v>
      </c>
      <c r="G8" s="1">
        <f t="shared" si="0"/>
        <v>1.5960000000000001</v>
      </c>
      <c r="H8" s="17">
        <f t="shared" ref="H8:H34" si="26">(P8-1)/2</f>
        <v>8.875</v>
      </c>
      <c r="I8" s="2">
        <v>3.85</v>
      </c>
      <c r="J8" s="2">
        <v>6</v>
      </c>
      <c r="K8" s="2">
        <v>0.4</v>
      </c>
      <c r="L8" s="2">
        <v>1</v>
      </c>
      <c r="M8" s="17">
        <f t="shared" ref="M8:M24" si="27">O8-0.4</f>
        <v>1.996</v>
      </c>
      <c r="N8" s="1">
        <f t="shared" si="6"/>
        <v>1.5960000000000001</v>
      </c>
      <c r="O8" s="17">
        <f t="shared" ref="O8:O24" si="28">E8+0.8</f>
        <v>2.3959999999999999</v>
      </c>
      <c r="P8">
        <v>18.75</v>
      </c>
      <c r="Q8" s="1">
        <f t="shared" si="1"/>
        <v>1.996</v>
      </c>
      <c r="R8" s="17">
        <v>1.5</v>
      </c>
      <c r="S8" s="20">
        <v>1.5</v>
      </c>
      <c r="T8" s="1">
        <f t="shared" si="7"/>
        <v>0.85</v>
      </c>
      <c r="U8" s="2">
        <v>0.44</v>
      </c>
      <c r="V8" s="2">
        <v>2.16</v>
      </c>
      <c r="W8" s="2">
        <v>0.85</v>
      </c>
      <c r="X8" s="2">
        <v>3.66</v>
      </c>
      <c r="Y8" s="14">
        <v>10.5</v>
      </c>
      <c r="Z8" s="2">
        <v>1.5</v>
      </c>
      <c r="AA8" s="17">
        <f t="shared" ref="AA8:AA24" si="29">AF8*0.377</f>
        <v>2.6861250000000001</v>
      </c>
      <c r="AB8" s="1">
        <f t="shared" si="2"/>
        <v>2.6861250000000001</v>
      </c>
      <c r="AC8" s="1">
        <f t="shared" si="3"/>
        <v>5.4249999999999998</v>
      </c>
      <c r="AD8">
        <f>8+1/8</f>
        <v>8.125</v>
      </c>
      <c r="AE8">
        <v>79.5</v>
      </c>
      <c r="AF8">
        <v>7.125</v>
      </c>
      <c r="AG8" s="2">
        <v>0.85</v>
      </c>
      <c r="AH8" s="2">
        <v>1.75</v>
      </c>
      <c r="AI8" s="2">
        <v>1.1000000000000001</v>
      </c>
      <c r="AJ8" s="2">
        <v>4.7</v>
      </c>
      <c r="AK8" s="2">
        <v>1</v>
      </c>
      <c r="AL8" s="2">
        <v>0.1</v>
      </c>
      <c r="AM8" s="2">
        <v>1.62</v>
      </c>
      <c r="AN8" s="17">
        <f t="shared" ref="AN8:AN24" si="30">AG8*0.8</f>
        <v>0.68</v>
      </c>
      <c r="AO8">
        <f t="shared" ref="AO8:AO24" si="31">AG8*4.18</f>
        <v>3.5529999999999995</v>
      </c>
      <c r="AP8">
        <v>1</v>
      </c>
      <c r="AS8">
        <f t="shared" si="4"/>
        <v>1.1403508771929824</v>
      </c>
      <c r="AT8">
        <v>5</v>
      </c>
      <c r="AU8">
        <f t="shared" si="21"/>
        <v>71.92</v>
      </c>
      <c r="AV8">
        <f t="shared" si="22"/>
        <v>74.625</v>
      </c>
      <c r="AW8">
        <f t="shared" si="23"/>
        <v>2.7049999999999983</v>
      </c>
      <c r="AY8">
        <f t="shared" si="11"/>
        <v>5.4249999999999998</v>
      </c>
      <c r="AZ8">
        <f t="shared" si="12"/>
        <v>6.4249999999999998</v>
      </c>
      <c r="BA8">
        <f t="shared" si="13"/>
        <v>34.855624999999996</v>
      </c>
      <c r="BB8">
        <f t="shared" si="14"/>
        <v>6.67</v>
      </c>
      <c r="BC8">
        <f t="shared" si="15"/>
        <v>6.66</v>
      </c>
      <c r="BD8">
        <v>14.3</v>
      </c>
      <c r="BE8">
        <f t="shared" si="16"/>
        <v>0</v>
      </c>
      <c r="BG8">
        <f t="shared" si="17"/>
        <v>12.66</v>
      </c>
      <c r="BH8">
        <f t="shared" si="18"/>
        <v>97.25</v>
      </c>
      <c r="BI8">
        <f t="shared" si="19"/>
        <v>66.84</v>
      </c>
      <c r="BJ8">
        <f t="shared" si="20"/>
        <v>84.59</v>
      </c>
    </row>
    <row r="9" spans="1:62" s="7" customFormat="1" x14ac:dyDescent="0.25">
      <c r="A9" s="7" t="s">
        <v>47</v>
      </c>
      <c r="B9" s="8">
        <f t="shared" si="5"/>
        <v>0.85</v>
      </c>
      <c r="C9" s="7">
        <v>4.875</v>
      </c>
      <c r="D9" s="9">
        <v>0.88</v>
      </c>
      <c r="E9" s="17">
        <f t="shared" si="24"/>
        <v>1.526</v>
      </c>
      <c r="F9" s="17">
        <f t="shared" si="25"/>
        <v>2.1259999999999999</v>
      </c>
      <c r="G9" s="1">
        <f t="shared" si="0"/>
        <v>1.526</v>
      </c>
      <c r="H9" s="17">
        <f t="shared" si="26"/>
        <v>3</v>
      </c>
      <c r="I9" s="2">
        <v>3.85</v>
      </c>
      <c r="J9" s="2">
        <v>6</v>
      </c>
      <c r="K9" s="2">
        <v>0.4</v>
      </c>
      <c r="L9" s="2">
        <v>1</v>
      </c>
      <c r="M9" s="17">
        <f t="shared" si="27"/>
        <v>1.9260000000000002</v>
      </c>
      <c r="N9" s="1">
        <f t="shared" si="6"/>
        <v>1.526</v>
      </c>
      <c r="O9" s="17">
        <f t="shared" si="28"/>
        <v>2.3260000000000001</v>
      </c>
      <c r="P9" s="7">
        <v>7</v>
      </c>
      <c r="Q9" s="1">
        <f t="shared" si="1"/>
        <v>1.9260000000000002</v>
      </c>
      <c r="R9" s="17">
        <v>1.5</v>
      </c>
      <c r="S9" s="20">
        <v>1.5</v>
      </c>
      <c r="T9" s="8">
        <f t="shared" si="7"/>
        <v>0.85</v>
      </c>
      <c r="U9" s="2">
        <v>0.44</v>
      </c>
      <c r="V9" s="2">
        <v>2.16</v>
      </c>
      <c r="W9" s="2">
        <v>0.85</v>
      </c>
      <c r="X9" s="2">
        <v>3.66</v>
      </c>
      <c r="Y9" s="17">
        <v>26</v>
      </c>
      <c r="Z9" s="9">
        <v>1.5</v>
      </c>
      <c r="AA9">
        <f t="shared" si="29"/>
        <v>2.5683125000000002</v>
      </c>
      <c r="AB9" s="8">
        <f t="shared" si="2"/>
        <v>2.5683125000000002</v>
      </c>
      <c r="AC9" s="8">
        <f t="shared" si="3"/>
        <v>5.1124999999999998</v>
      </c>
      <c r="AD9" s="12">
        <f>AD10+(AD8-AD10)/2</f>
        <v>7.75</v>
      </c>
      <c r="AE9" s="12">
        <f>AE10+(AE8-AE10)/2</f>
        <v>75.1875</v>
      </c>
      <c r="AF9" s="12">
        <f>AF10+(AF8-AF10)/2</f>
        <v>6.8125</v>
      </c>
      <c r="AG9" s="9">
        <v>0.85</v>
      </c>
      <c r="AH9" s="9">
        <v>1.75</v>
      </c>
      <c r="AI9" s="9">
        <v>1.1000000000000001</v>
      </c>
      <c r="AJ9" s="9">
        <v>4.7</v>
      </c>
      <c r="AK9" s="9">
        <v>1</v>
      </c>
      <c r="AL9" s="9">
        <v>0.1</v>
      </c>
      <c r="AM9" s="9">
        <v>1.62</v>
      </c>
      <c r="AN9" s="17">
        <f t="shared" si="30"/>
        <v>0.68</v>
      </c>
      <c r="AO9">
        <f t="shared" si="31"/>
        <v>3.5529999999999995</v>
      </c>
      <c r="AP9">
        <v>1</v>
      </c>
      <c r="AQ9"/>
      <c r="AR9"/>
      <c r="AS9" s="7">
        <f t="shared" si="4"/>
        <v>1.1376146788990826</v>
      </c>
      <c r="AT9" s="7">
        <v>6</v>
      </c>
      <c r="AU9" s="7">
        <f t="shared" si="21"/>
        <v>67.88</v>
      </c>
      <c r="AV9" s="13">
        <f t="shared" si="22"/>
        <v>70.3125</v>
      </c>
      <c r="AW9" s="7">
        <f t="shared" si="23"/>
        <v>2.4325000000000045</v>
      </c>
      <c r="AY9">
        <f t="shared" si="11"/>
        <v>5.1124999999999998</v>
      </c>
      <c r="AZ9">
        <f t="shared" si="12"/>
        <v>6.05</v>
      </c>
      <c r="BA9">
        <f t="shared" si="13"/>
        <v>30.930624999999999</v>
      </c>
      <c r="BB9">
        <f t="shared" si="14"/>
        <v>6.27</v>
      </c>
      <c r="BC9">
        <f t="shared" si="15"/>
        <v>6.28</v>
      </c>
      <c r="BD9">
        <v>13.7</v>
      </c>
      <c r="BE9">
        <f t="shared" si="16"/>
        <v>0</v>
      </c>
      <c r="BG9">
        <f t="shared" si="17"/>
        <v>28.16</v>
      </c>
      <c r="BH9">
        <f t="shared" si="18"/>
        <v>81.1875</v>
      </c>
      <c r="BI9">
        <f t="shared" si="19"/>
        <v>47.027500000000003</v>
      </c>
      <c r="BJ9">
        <f t="shared" si="20"/>
        <v>53.027500000000003</v>
      </c>
    </row>
    <row r="10" spans="1:62" x14ac:dyDescent="0.25">
      <c r="A10" t="s">
        <v>48</v>
      </c>
      <c r="B10" s="1">
        <f t="shared" si="5"/>
        <v>0.75</v>
      </c>
      <c r="C10">
        <v>4.875</v>
      </c>
      <c r="D10" s="2">
        <v>0.75</v>
      </c>
      <c r="E10" s="17">
        <f t="shared" si="24"/>
        <v>1.456</v>
      </c>
      <c r="F10" s="17">
        <f t="shared" si="25"/>
        <v>2.056</v>
      </c>
      <c r="G10" s="1">
        <f t="shared" si="0"/>
        <v>1.456</v>
      </c>
      <c r="H10" s="17">
        <f t="shared" si="26"/>
        <v>8.875</v>
      </c>
      <c r="I10" s="2">
        <v>3.85</v>
      </c>
      <c r="J10" s="2">
        <v>6</v>
      </c>
      <c r="K10" s="2">
        <v>0.4</v>
      </c>
      <c r="L10" s="2">
        <v>1</v>
      </c>
      <c r="M10" s="17">
        <f t="shared" si="27"/>
        <v>1.8560000000000003</v>
      </c>
      <c r="N10" s="1">
        <f t="shared" si="6"/>
        <v>1.456</v>
      </c>
      <c r="O10" s="17">
        <f t="shared" si="28"/>
        <v>2.2560000000000002</v>
      </c>
      <c r="P10">
        <v>18.75</v>
      </c>
      <c r="Q10" s="1">
        <f t="shared" si="1"/>
        <v>1.8560000000000003</v>
      </c>
      <c r="R10" s="17">
        <v>1.5</v>
      </c>
      <c r="S10" s="20">
        <v>1.5</v>
      </c>
      <c r="T10" s="1">
        <f t="shared" si="7"/>
        <v>0.75</v>
      </c>
      <c r="U10" s="2">
        <v>0.44</v>
      </c>
      <c r="V10" s="2">
        <v>2.16</v>
      </c>
      <c r="W10" s="2">
        <v>0.85</v>
      </c>
      <c r="X10" s="2">
        <v>3.66</v>
      </c>
      <c r="Y10" s="14">
        <v>7.25</v>
      </c>
      <c r="Z10" s="2">
        <v>1.5</v>
      </c>
      <c r="AA10" s="17">
        <f t="shared" si="29"/>
        <v>2.4504999999999999</v>
      </c>
      <c r="AB10" s="1">
        <f t="shared" si="2"/>
        <v>2.4504999999999999</v>
      </c>
      <c r="AC10" s="1">
        <f t="shared" si="3"/>
        <v>5</v>
      </c>
      <c r="AD10">
        <f>7+3/8</f>
        <v>7.375</v>
      </c>
      <c r="AE10">
        <f>70+7/8</f>
        <v>70.875</v>
      </c>
      <c r="AF10">
        <v>6.5</v>
      </c>
      <c r="AG10" s="2">
        <v>0.75</v>
      </c>
      <c r="AH10" s="2">
        <v>1.25</v>
      </c>
      <c r="AI10" s="2">
        <v>0.7</v>
      </c>
      <c r="AJ10" s="2">
        <v>4.0999999999999996</v>
      </c>
      <c r="AK10" s="2">
        <v>1</v>
      </c>
      <c r="AL10" s="2">
        <v>0.1</v>
      </c>
      <c r="AM10" s="2">
        <v>1</v>
      </c>
      <c r="AN10" s="17">
        <f t="shared" si="30"/>
        <v>0.60000000000000009</v>
      </c>
      <c r="AO10">
        <f t="shared" si="31"/>
        <v>3.1349999999999998</v>
      </c>
      <c r="AP10">
        <v>1</v>
      </c>
      <c r="AS10">
        <f t="shared" si="4"/>
        <v>1.1346153846153846</v>
      </c>
      <c r="AT10">
        <v>7</v>
      </c>
      <c r="AU10">
        <f t="shared" si="21"/>
        <v>64.069999999999993</v>
      </c>
      <c r="AV10">
        <f t="shared" si="22"/>
        <v>66</v>
      </c>
      <c r="AW10">
        <f t="shared" si="23"/>
        <v>1.9300000000000068</v>
      </c>
      <c r="AY10">
        <f t="shared" si="11"/>
        <v>5</v>
      </c>
      <c r="AZ10">
        <f t="shared" si="12"/>
        <v>5.875</v>
      </c>
      <c r="BA10">
        <f t="shared" si="13"/>
        <v>29.375</v>
      </c>
      <c r="BB10">
        <f t="shared" si="14"/>
        <v>6.15</v>
      </c>
      <c r="BC10">
        <f t="shared" si="15"/>
        <v>6.12</v>
      </c>
      <c r="BD10">
        <v>15</v>
      </c>
      <c r="BE10">
        <f t="shared" si="16"/>
        <v>0</v>
      </c>
      <c r="BG10">
        <f t="shared" si="17"/>
        <v>9.41</v>
      </c>
      <c r="BH10">
        <f t="shared" si="18"/>
        <v>88.625</v>
      </c>
      <c r="BI10">
        <f t="shared" si="19"/>
        <v>61.465000000000003</v>
      </c>
      <c r="BJ10">
        <f t="shared" si="20"/>
        <v>79.215000000000003</v>
      </c>
    </row>
    <row r="11" spans="1:62" x14ac:dyDescent="0.25">
      <c r="A11" t="s">
        <v>49</v>
      </c>
      <c r="B11" s="1">
        <f t="shared" si="5"/>
        <v>0.75</v>
      </c>
      <c r="C11">
        <v>4.875</v>
      </c>
      <c r="D11" s="2">
        <v>0.75</v>
      </c>
      <c r="E11" s="17">
        <f t="shared" si="24"/>
        <v>1.4000000000000001</v>
      </c>
      <c r="F11" s="17">
        <f t="shared" si="25"/>
        <v>2</v>
      </c>
      <c r="G11" s="1">
        <f t="shared" si="0"/>
        <v>1.4000000000000001</v>
      </c>
      <c r="H11" s="17">
        <f t="shared" si="26"/>
        <v>3</v>
      </c>
      <c r="I11" s="2">
        <v>3.85</v>
      </c>
      <c r="J11" s="2">
        <v>6</v>
      </c>
      <c r="K11" s="2">
        <v>0.4</v>
      </c>
      <c r="L11" s="2">
        <v>1</v>
      </c>
      <c r="M11" s="17">
        <f t="shared" si="27"/>
        <v>1.8000000000000003</v>
      </c>
      <c r="N11" s="1">
        <f t="shared" si="6"/>
        <v>1.4000000000000001</v>
      </c>
      <c r="O11" s="17">
        <f t="shared" si="28"/>
        <v>2.2000000000000002</v>
      </c>
      <c r="P11">
        <v>7</v>
      </c>
      <c r="Q11" s="1">
        <f t="shared" si="1"/>
        <v>1.8000000000000003</v>
      </c>
      <c r="R11" s="17">
        <v>1.5</v>
      </c>
      <c r="S11" s="20">
        <v>1.5</v>
      </c>
      <c r="T11" s="1">
        <f t="shared" si="7"/>
        <v>0.75</v>
      </c>
      <c r="U11" s="2">
        <v>0.44</v>
      </c>
      <c r="V11" s="2">
        <v>2.16</v>
      </c>
      <c r="W11" s="2">
        <v>0.85</v>
      </c>
      <c r="X11" s="2">
        <v>3.66</v>
      </c>
      <c r="Y11" s="15">
        <v>21.25</v>
      </c>
      <c r="Z11" s="2">
        <v>1.5</v>
      </c>
      <c r="AA11" s="17">
        <f t="shared" si="29"/>
        <v>2.3562500000000002</v>
      </c>
      <c r="AB11" s="1">
        <f t="shared" si="2"/>
        <v>2.3562500000000002</v>
      </c>
      <c r="AC11" s="1">
        <f t="shared" si="3"/>
        <v>4.75</v>
      </c>
      <c r="AD11">
        <f>7+1/8</f>
        <v>7.125</v>
      </c>
      <c r="AE11">
        <f>67.25</f>
        <v>67.25</v>
      </c>
      <c r="AF11">
        <v>6.25</v>
      </c>
      <c r="AG11" s="2">
        <v>0.75</v>
      </c>
      <c r="AH11" s="2">
        <v>1.25</v>
      </c>
      <c r="AI11" s="2">
        <v>0.7</v>
      </c>
      <c r="AJ11" s="2">
        <v>4.0999999999999996</v>
      </c>
      <c r="AK11" s="2">
        <v>1</v>
      </c>
      <c r="AL11" s="2">
        <v>0.1</v>
      </c>
      <c r="AM11" s="2">
        <v>1</v>
      </c>
      <c r="AN11" s="17">
        <f t="shared" si="30"/>
        <v>0.60000000000000009</v>
      </c>
      <c r="AO11">
        <f t="shared" si="31"/>
        <v>3.1349999999999998</v>
      </c>
      <c r="AP11">
        <v>1</v>
      </c>
      <c r="AS11">
        <f t="shared" si="4"/>
        <v>1.1399999999999999</v>
      </c>
      <c r="AT11">
        <v>8</v>
      </c>
      <c r="AU11">
        <f t="shared" si="21"/>
        <v>60.48</v>
      </c>
      <c r="AV11">
        <f t="shared" si="22"/>
        <v>62.375</v>
      </c>
      <c r="AW11">
        <f t="shared" si="23"/>
        <v>1.8950000000000031</v>
      </c>
      <c r="AY11">
        <f t="shared" si="11"/>
        <v>4.75</v>
      </c>
      <c r="AZ11">
        <f t="shared" si="12"/>
        <v>5.625</v>
      </c>
      <c r="BA11">
        <f t="shared" si="13"/>
        <v>26.71875</v>
      </c>
      <c r="BB11">
        <f t="shared" si="14"/>
        <v>5.87</v>
      </c>
      <c r="BC11">
        <f t="shared" si="15"/>
        <v>5.83</v>
      </c>
      <c r="BD11">
        <f t="shared" ref="BD11:BD34" si="32">BD10</f>
        <v>15</v>
      </c>
      <c r="BE11">
        <f t="shared" si="16"/>
        <v>0</v>
      </c>
      <c r="BG11">
        <f t="shared" si="17"/>
        <v>23.41</v>
      </c>
      <c r="BH11">
        <f t="shared" si="18"/>
        <v>73.25</v>
      </c>
      <c r="BI11">
        <f t="shared" si="19"/>
        <v>43.84</v>
      </c>
      <c r="BJ11">
        <f t="shared" si="20"/>
        <v>49.84</v>
      </c>
    </row>
    <row r="12" spans="1:62" x14ac:dyDescent="0.25">
      <c r="A12" t="s">
        <v>50</v>
      </c>
      <c r="B12" s="1">
        <f t="shared" si="5"/>
        <v>0.75</v>
      </c>
      <c r="C12">
        <v>4.875</v>
      </c>
      <c r="D12" s="2">
        <v>0.75</v>
      </c>
      <c r="E12" s="17">
        <f t="shared" si="24"/>
        <v>1.3160000000000001</v>
      </c>
      <c r="F12" s="17">
        <f t="shared" si="25"/>
        <v>1.9159999999999999</v>
      </c>
      <c r="G12" s="1">
        <f t="shared" si="0"/>
        <v>1.3160000000000001</v>
      </c>
      <c r="H12" s="17">
        <f t="shared" si="26"/>
        <v>8.875</v>
      </c>
      <c r="I12" s="2">
        <v>3.85</v>
      </c>
      <c r="J12" s="2">
        <v>6</v>
      </c>
      <c r="K12" s="2">
        <v>0.4</v>
      </c>
      <c r="L12" s="2">
        <v>1</v>
      </c>
      <c r="M12" s="17">
        <f t="shared" si="27"/>
        <v>1.7160000000000002</v>
      </c>
      <c r="N12" s="1">
        <f t="shared" si="6"/>
        <v>1.3160000000000001</v>
      </c>
      <c r="O12" s="17">
        <f t="shared" si="28"/>
        <v>2.1160000000000001</v>
      </c>
      <c r="P12">
        <v>18.75</v>
      </c>
      <c r="Q12" s="1">
        <f t="shared" si="1"/>
        <v>1.7160000000000002</v>
      </c>
      <c r="R12" s="17">
        <v>1.5</v>
      </c>
      <c r="S12" s="20">
        <v>1.5</v>
      </c>
      <c r="T12" s="1">
        <f t="shared" si="7"/>
        <v>0.75</v>
      </c>
      <c r="U12" s="2">
        <v>0.44</v>
      </c>
      <c r="V12" s="2">
        <v>2.16</v>
      </c>
      <c r="W12" s="2">
        <v>0.85</v>
      </c>
      <c r="X12" s="2">
        <v>3.66</v>
      </c>
      <c r="Y12" s="14">
        <v>5.5</v>
      </c>
      <c r="Z12" s="2">
        <v>1.25</v>
      </c>
      <c r="AA12" s="17">
        <f t="shared" si="29"/>
        <v>2.2148750000000001</v>
      </c>
      <c r="AB12" s="1">
        <f t="shared" si="2"/>
        <v>2.2148750000000001</v>
      </c>
      <c r="AC12" s="1">
        <f t="shared" si="3"/>
        <v>4.375</v>
      </c>
      <c r="AD12">
        <f>6+7/8</f>
        <v>6.875</v>
      </c>
      <c r="AE12">
        <f>63+7/8</f>
        <v>63.875</v>
      </c>
      <c r="AF12">
        <f>5+7/8</f>
        <v>5.875</v>
      </c>
      <c r="AG12" s="2">
        <v>0.75</v>
      </c>
      <c r="AH12" s="2">
        <v>1.25</v>
      </c>
      <c r="AI12" s="2">
        <v>0.7</v>
      </c>
      <c r="AJ12" s="2">
        <v>4.0999999999999996</v>
      </c>
      <c r="AK12" s="2">
        <v>1</v>
      </c>
      <c r="AL12" s="2">
        <v>0.1</v>
      </c>
      <c r="AM12" s="2">
        <v>1</v>
      </c>
      <c r="AN12" s="17">
        <f t="shared" si="30"/>
        <v>0.60000000000000009</v>
      </c>
      <c r="AO12">
        <f t="shared" si="31"/>
        <v>3.1349999999999998</v>
      </c>
      <c r="AP12">
        <v>1</v>
      </c>
      <c r="AS12">
        <f t="shared" si="4"/>
        <v>1.1702127659574468</v>
      </c>
      <c r="AT12">
        <v>9</v>
      </c>
      <c r="AU12">
        <f t="shared" si="21"/>
        <v>57.08</v>
      </c>
      <c r="AV12">
        <f t="shared" si="22"/>
        <v>59</v>
      </c>
      <c r="AW12">
        <f t="shared" si="23"/>
        <v>1.9200000000000017</v>
      </c>
      <c r="AY12">
        <f t="shared" si="11"/>
        <v>4.375</v>
      </c>
      <c r="AZ12">
        <f t="shared" si="12"/>
        <v>5.375</v>
      </c>
      <c r="BA12">
        <f t="shared" si="13"/>
        <v>23.515625</v>
      </c>
      <c r="BB12">
        <f t="shared" si="14"/>
        <v>5.44</v>
      </c>
      <c r="BC12">
        <f t="shared" si="15"/>
        <v>5.47</v>
      </c>
      <c r="BD12">
        <v>14</v>
      </c>
      <c r="BE12">
        <f t="shared" si="16"/>
        <v>0</v>
      </c>
      <c r="BG12">
        <f t="shared" si="17"/>
        <v>7.66</v>
      </c>
      <c r="BH12">
        <f t="shared" si="18"/>
        <v>81.625</v>
      </c>
      <c r="BI12">
        <f t="shared" si="19"/>
        <v>56.215000000000003</v>
      </c>
      <c r="BJ12">
        <f t="shared" si="20"/>
        <v>73.965000000000003</v>
      </c>
    </row>
    <row r="13" spans="1:62" s="7" customFormat="1" x14ac:dyDescent="0.25">
      <c r="A13" s="7" t="s">
        <v>51</v>
      </c>
      <c r="B13" s="8">
        <f t="shared" si="5"/>
        <v>0.75</v>
      </c>
      <c r="C13" s="7">
        <v>4.875</v>
      </c>
      <c r="D13" s="9">
        <v>0.75</v>
      </c>
      <c r="E13" s="17">
        <f t="shared" si="24"/>
        <v>1.2768000000000002</v>
      </c>
      <c r="F13" s="17">
        <f t="shared" si="25"/>
        <v>1.8768000000000002</v>
      </c>
      <c r="G13" s="1">
        <f t="shared" si="0"/>
        <v>1.2768000000000002</v>
      </c>
      <c r="H13" s="17">
        <f t="shared" si="26"/>
        <v>3</v>
      </c>
      <c r="I13" s="2">
        <v>3.85</v>
      </c>
      <c r="J13" s="2">
        <v>6</v>
      </c>
      <c r="K13" s="2">
        <v>0.4</v>
      </c>
      <c r="L13" s="2">
        <v>1</v>
      </c>
      <c r="M13" s="17">
        <f t="shared" si="27"/>
        <v>1.6768000000000005</v>
      </c>
      <c r="N13" s="1">
        <f t="shared" si="6"/>
        <v>1.2768000000000002</v>
      </c>
      <c r="O13" s="17">
        <f t="shared" si="28"/>
        <v>2.0768000000000004</v>
      </c>
      <c r="P13" s="7">
        <v>7</v>
      </c>
      <c r="Q13" s="1">
        <f t="shared" si="1"/>
        <v>1.6768000000000005</v>
      </c>
      <c r="R13" s="17">
        <v>1.5</v>
      </c>
      <c r="S13" s="20">
        <v>1.5</v>
      </c>
      <c r="T13" s="8">
        <f t="shared" si="7"/>
        <v>0.75</v>
      </c>
      <c r="U13" s="2">
        <v>0.44</v>
      </c>
      <c r="V13" s="2">
        <v>2.16</v>
      </c>
      <c r="W13" s="2">
        <v>0.85</v>
      </c>
      <c r="X13" s="2">
        <v>3.66</v>
      </c>
      <c r="Y13" s="17">
        <v>17.5</v>
      </c>
      <c r="Z13" s="9">
        <v>1.25</v>
      </c>
      <c r="AA13" s="17">
        <f t="shared" si="29"/>
        <v>2.1489000000000003</v>
      </c>
      <c r="AB13" s="8">
        <f t="shared" si="2"/>
        <v>2.1489000000000003</v>
      </c>
      <c r="AC13" s="8">
        <f t="shared" si="3"/>
        <v>4.2</v>
      </c>
      <c r="AD13" s="12">
        <v>6.65</v>
      </c>
      <c r="AE13" s="12">
        <f>AE14+(AE12-AE14)/2</f>
        <v>60.5</v>
      </c>
      <c r="AF13" s="12">
        <v>5.7</v>
      </c>
      <c r="AG13" s="9">
        <v>0.75</v>
      </c>
      <c r="AH13" s="9">
        <v>1.25</v>
      </c>
      <c r="AI13" s="9">
        <v>0.7</v>
      </c>
      <c r="AJ13" s="9">
        <v>4.0999999999999996</v>
      </c>
      <c r="AK13" s="9">
        <v>1</v>
      </c>
      <c r="AL13" s="9">
        <v>0.1</v>
      </c>
      <c r="AM13" s="9">
        <v>1</v>
      </c>
      <c r="AN13" s="17">
        <f t="shared" si="30"/>
        <v>0.60000000000000009</v>
      </c>
      <c r="AO13">
        <f t="shared" si="31"/>
        <v>3.1349999999999998</v>
      </c>
      <c r="AP13">
        <v>1</v>
      </c>
      <c r="AQ13"/>
      <c r="AR13"/>
      <c r="AS13" s="7">
        <f t="shared" si="4"/>
        <v>1.1666666666666667</v>
      </c>
      <c r="AT13" s="7">
        <v>10</v>
      </c>
      <c r="AU13" s="7">
        <f t="shared" si="21"/>
        <v>53.88</v>
      </c>
      <c r="AV13" s="13">
        <f t="shared" si="22"/>
        <v>55.625</v>
      </c>
      <c r="AW13" s="7">
        <f t="shared" si="23"/>
        <v>1.7449999999999974</v>
      </c>
      <c r="AY13">
        <f t="shared" si="11"/>
        <v>4.2</v>
      </c>
      <c r="AZ13">
        <f t="shared" si="12"/>
        <v>5.15</v>
      </c>
      <c r="BA13">
        <f t="shared" si="13"/>
        <v>21.630000000000003</v>
      </c>
      <c r="BB13">
        <f t="shared" si="14"/>
        <v>5.35</v>
      </c>
      <c r="BC13">
        <f t="shared" si="15"/>
        <v>5.25</v>
      </c>
      <c r="BD13">
        <v>15</v>
      </c>
      <c r="BE13">
        <f t="shared" si="16"/>
        <v>-0.1</v>
      </c>
      <c r="BG13">
        <f t="shared" si="17"/>
        <v>19.66</v>
      </c>
      <c r="BH13">
        <f t="shared" si="18"/>
        <v>66.5</v>
      </c>
      <c r="BI13">
        <f t="shared" si="19"/>
        <v>40.840000000000003</v>
      </c>
      <c r="BJ13">
        <f t="shared" si="20"/>
        <v>46.84</v>
      </c>
    </row>
    <row r="14" spans="1:62" s="3" customFormat="1" x14ac:dyDescent="0.25">
      <c r="A14" s="3" t="s">
        <v>52</v>
      </c>
      <c r="B14" s="6">
        <f t="shared" si="5"/>
        <v>0.75</v>
      </c>
      <c r="C14" s="3">
        <v>4.875</v>
      </c>
      <c r="D14" s="4">
        <v>0.75</v>
      </c>
      <c r="E14" s="17">
        <f t="shared" si="24"/>
        <v>1.26</v>
      </c>
      <c r="F14" s="17">
        <f t="shared" si="25"/>
        <v>1.8599999999999999</v>
      </c>
      <c r="G14" s="1">
        <f t="shared" si="0"/>
        <v>1.26</v>
      </c>
      <c r="H14" s="17">
        <f t="shared" si="26"/>
        <v>8.875</v>
      </c>
      <c r="I14" s="2">
        <v>3.85</v>
      </c>
      <c r="J14" s="2">
        <v>6</v>
      </c>
      <c r="K14" s="2">
        <v>0.4</v>
      </c>
      <c r="L14" s="2">
        <v>1</v>
      </c>
      <c r="M14" s="17">
        <f t="shared" si="27"/>
        <v>1.6600000000000001</v>
      </c>
      <c r="N14" s="1">
        <f t="shared" si="6"/>
        <v>1.26</v>
      </c>
      <c r="O14" s="17">
        <f t="shared" si="28"/>
        <v>2.06</v>
      </c>
      <c r="P14" s="3">
        <v>18.75</v>
      </c>
      <c r="Q14" s="1">
        <f t="shared" si="1"/>
        <v>1.6600000000000001</v>
      </c>
      <c r="R14" s="17">
        <v>1.5</v>
      </c>
      <c r="S14" s="20">
        <v>1.5</v>
      </c>
      <c r="T14" s="6">
        <f t="shared" si="7"/>
        <v>0.75</v>
      </c>
      <c r="U14" s="2">
        <v>0.44</v>
      </c>
      <c r="V14" s="2">
        <v>2.16</v>
      </c>
      <c r="W14" s="2">
        <v>0.85</v>
      </c>
      <c r="X14" s="2">
        <v>3.66</v>
      </c>
      <c r="Y14" s="14">
        <v>3.5</v>
      </c>
      <c r="Z14" s="4">
        <v>1.25</v>
      </c>
      <c r="AA14" s="17">
        <f t="shared" si="29"/>
        <v>2.120625</v>
      </c>
      <c r="AB14" s="6">
        <f t="shared" si="2"/>
        <v>2.120625</v>
      </c>
      <c r="AC14" s="6">
        <f t="shared" si="3"/>
        <v>4.125</v>
      </c>
      <c r="AD14" s="3">
        <v>6.5</v>
      </c>
      <c r="AE14" s="3">
        <f>57+1/8</f>
        <v>57.125</v>
      </c>
      <c r="AF14" s="3">
        <f>5+5/8</f>
        <v>5.625</v>
      </c>
      <c r="AG14" s="4">
        <v>0.75</v>
      </c>
      <c r="AH14" s="4">
        <v>1.25</v>
      </c>
      <c r="AI14" s="4">
        <v>0.7</v>
      </c>
      <c r="AJ14" s="4">
        <v>4.0999999999999996</v>
      </c>
      <c r="AK14" s="4">
        <v>1</v>
      </c>
      <c r="AL14" s="4">
        <v>0.1</v>
      </c>
      <c r="AM14" s="4">
        <v>1</v>
      </c>
      <c r="AN14" s="17">
        <f t="shared" si="30"/>
        <v>0.60000000000000009</v>
      </c>
      <c r="AO14">
        <f t="shared" si="31"/>
        <v>3.1349999999999998</v>
      </c>
      <c r="AP14">
        <v>1</v>
      </c>
      <c r="AQ14"/>
      <c r="AR14"/>
      <c r="AS14" s="3">
        <f t="shared" si="4"/>
        <v>1.1555555555555554</v>
      </c>
      <c r="AT14">
        <v>11</v>
      </c>
      <c r="AU14">
        <f t="shared" si="21"/>
        <v>50.85</v>
      </c>
      <c r="AV14">
        <f t="shared" si="22"/>
        <v>52.25</v>
      </c>
      <c r="AW14">
        <f t="shared" si="23"/>
        <v>1.3999999999999986</v>
      </c>
      <c r="AY14">
        <f t="shared" si="11"/>
        <v>4.125</v>
      </c>
      <c r="AZ14">
        <f t="shared" si="12"/>
        <v>5</v>
      </c>
      <c r="BA14">
        <f t="shared" si="13"/>
        <v>20.625</v>
      </c>
      <c r="BB14">
        <f t="shared" si="14"/>
        <v>5.1100000000000003</v>
      </c>
      <c r="BC14">
        <f t="shared" si="15"/>
        <v>5.12</v>
      </c>
      <c r="BD14">
        <f t="shared" si="32"/>
        <v>15</v>
      </c>
      <c r="BE14">
        <f t="shared" si="16"/>
        <v>0</v>
      </c>
      <c r="BG14">
        <f t="shared" si="17"/>
        <v>5.66</v>
      </c>
      <c r="BH14">
        <f t="shared" si="18"/>
        <v>74.875</v>
      </c>
      <c r="BI14">
        <f t="shared" si="19"/>
        <v>51.465000000000003</v>
      </c>
      <c r="BJ14">
        <f t="shared" si="20"/>
        <v>69.215000000000003</v>
      </c>
    </row>
    <row r="15" spans="1:62" x14ac:dyDescent="0.25">
      <c r="A15" t="s">
        <v>53</v>
      </c>
      <c r="B15" s="5">
        <f t="shared" si="5"/>
        <v>0.63</v>
      </c>
      <c r="C15">
        <v>4.3499999999999996</v>
      </c>
      <c r="D15" s="2">
        <v>0.75</v>
      </c>
      <c r="E15" s="17">
        <f t="shared" si="24"/>
        <v>1.19</v>
      </c>
      <c r="F15" s="17">
        <f t="shared" si="25"/>
        <v>1.79</v>
      </c>
      <c r="G15" s="1">
        <f t="shared" si="0"/>
        <v>1.19</v>
      </c>
      <c r="H15" s="17">
        <f t="shared" si="26"/>
        <v>3</v>
      </c>
      <c r="I15" s="2">
        <v>3.85</v>
      </c>
      <c r="J15" s="2">
        <v>6</v>
      </c>
      <c r="K15" s="2">
        <v>0.35</v>
      </c>
      <c r="L15" s="2">
        <v>1</v>
      </c>
      <c r="M15" s="17">
        <f t="shared" si="27"/>
        <v>1.5899999999999999</v>
      </c>
      <c r="N15" s="1">
        <f t="shared" si="6"/>
        <v>1.19</v>
      </c>
      <c r="O15" s="17">
        <f t="shared" si="28"/>
        <v>1.99</v>
      </c>
      <c r="P15">
        <v>7</v>
      </c>
      <c r="Q15" s="1">
        <f t="shared" si="1"/>
        <v>1.5899999999999999</v>
      </c>
      <c r="R15" s="17">
        <v>1.5</v>
      </c>
      <c r="S15" s="20">
        <v>1.5</v>
      </c>
      <c r="T15" s="5">
        <f t="shared" si="7"/>
        <v>0.63</v>
      </c>
      <c r="U15" s="2">
        <v>0.44</v>
      </c>
      <c r="V15" s="2">
        <v>2.16</v>
      </c>
      <c r="W15" s="2">
        <v>0.85</v>
      </c>
      <c r="X15" s="2">
        <v>3.66</v>
      </c>
      <c r="Y15" s="15">
        <v>14.25</v>
      </c>
      <c r="Z15" s="2">
        <v>1.25</v>
      </c>
      <c r="AA15" s="17">
        <f>AF15*0.344</f>
        <v>1.8274999999999999</v>
      </c>
      <c r="AB15" s="5">
        <f t="shared" si="2"/>
        <v>1.8274999999999999</v>
      </c>
      <c r="AC15" s="5">
        <f t="shared" si="3"/>
        <v>4.0525000000000002</v>
      </c>
      <c r="AD15">
        <v>6.25</v>
      </c>
      <c r="AE15">
        <v>53.5</v>
      </c>
      <c r="AF15">
        <f>5+5/16</f>
        <v>5.3125</v>
      </c>
      <c r="AG15" s="2">
        <v>0.63</v>
      </c>
      <c r="AH15" s="2">
        <v>1.25</v>
      </c>
      <c r="AI15" s="2">
        <v>0.7</v>
      </c>
      <c r="AJ15" s="2">
        <v>4.0999999999999996</v>
      </c>
      <c r="AK15" s="2">
        <v>1</v>
      </c>
      <c r="AL15" s="2">
        <v>0.1</v>
      </c>
      <c r="AM15" s="2">
        <v>1</v>
      </c>
      <c r="AN15" s="17">
        <f t="shared" si="30"/>
        <v>0.504</v>
      </c>
      <c r="AO15">
        <f t="shared" si="31"/>
        <v>2.6334</v>
      </c>
      <c r="AP15">
        <v>0</v>
      </c>
      <c r="AS15">
        <f t="shared" si="4"/>
        <v>1.1764705882352942</v>
      </c>
      <c r="AT15">
        <v>12</v>
      </c>
      <c r="AU15">
        <f t="shared" si="21"/>
        <v>48</v>
      </c>
      <c r="AV15">
        <f t="shared" si="22"/>
        <v>49.15</v>
      </c>
      <c r="AW15">
        <f t="shared" si="23"/>
        <v>1.1499999999999986</v>
      </c>
      <c r="AY15">
        <f t="shared" si="11"/>
        <v>4.0525000000000002</v>
      </c>
      <c r="AZ15">
        <f t="shared" si="12"/>
        <v>4.99</v>
      </c>
      <c r="BA15">
        <f t="shared" si="13"/>
        <v>20.221975</v>
      </c>
      <c r="BB15">
        <f t="shared" si="14"/>
        <v>5.05</v>
      </c>
      <c r="BC15">
        <f t="shared" si="15"/>
        <v>5.07</v>
      </c>
      <c r="BD15">
        <v>16</v>
      </c>
      <c r="BE15">
        <f t="shared" si="16"/>
        <v>0</v>
      </c>
      <c r="BG15">
        <f t="shared" si="17"/>
        <v>16.41</v>
      </c>
      <c r="BH15">
        <f t="shared" si="18"/>
        <v>59.5</v>
      </c>
      <c r="BI15">
        <f t="shared" si="19"/>
        <v>37.090000000000003</v>
      </c>
      <c r="BJ15">
        <f t="shared" si="20"/>
        <v>43.09</v>
      </c>
    </row>
    <row r="16" spans="1:62" x14ac:dyDescent="0.25">
      <c r="A16" t="s">
        <v>54</v>
      </c>
      <c r="B16" s="1">
        <f t="shared" si="5"/>
        <v>0.63</v>
      </c>
      <c r="C16">
        <v>4.3499999999999996</v>
      </c>
      <c r="D16" s="2">
        <v>0.75</v>
      </c>
      <c r="E16" s="17">
        <f t="shared" si="24"/>
        <v>1.1480000000000001</v>
      </c>
      <c r="F16" s="17">
        <f t="shared" si="25"/>
        <v>1.7480000000000002</v>
      </c>
      <c r="G16" s="1">
        <f t="shared" si="0"/>
        <v>1.1480000000000001</v>
      </c>
      <c r="H16" s="17">
        <f t="shared" si="26"/>
        <v>8.875</v>
      </c>
      <c r="I16" s="2">
        <v>3.85</v>
      </c>
      <c r="J16" s="2">
        <v>6</v>
      </c>
      <c r="K16" s="2">
        <v>0.35</v>
      </c>
      <c r="L16" s="2">
        <v>1</v>
      </c>
      <c r="M16" s="17">
        <f t="shared" si="27"/>
        <v>1.548</v>
      </c>
      <c r="N16" s="1">
        <f t="shared" si="6"/>
        <v>1.1480000000000001</v>
      </c>
      <c r="O16" s="17">
        <f t="shared" si="28"/>
        <v>1.9480000000000002</v>
      </c>
      <c r="P16">
        <v>18.75</v>
      </c>
      <c r="Q16" s="1">
        <f t="shared" si="1"/>
        <v>1.548</v>
      </c>
      <c r="R16" s="17">
        <v>1.5</v>
      </c>
      <c r="S16" s="20">
        <v>1.5</v>
      </c>
      <c r="T16" s="1">
        <f t="shared" si="7"/>
        <v>0.63</v>
      </c>
      <c r="U16" s="2">
        <v>0.44</v>
      </c>
      <c r="V16" s="2">
        <v>2.16</v>
      </c>
      <c r="W16" s="2">
        <v>0.85</v>
      </c>
      <c r="X16" s="2">
        <v>3.66</v>
      </c>
      <c r="Y16" s="14">
        <f>2+7/8</f>
        <v>2.875</v>
      </c>
      <c r="Z16" s="2">
        <v>1.25</v>
      </c>
      <c r="AA16" s="17">
        <f t="shared" ref="AA16:AA24" si="33">AF16*0.344</f>
        <v>1.7629999999999999</v>
      </c>
      <c r="AB16" s="1">
        <f t="shared" si="2"/>
        <v>1.7629999999999999</v>
      </c>
      <c r="AC16" s="1">
        <f t="shared" si="3"/>
        <v>3.8650000000000002</v>
      </c>
      <c r="AD16">
        <f>5+7/8</f>
        <v>5.875</v>
      </c>
      <c r="AE16">
        <f>50+7/8</f>
        <v>50.875</v>
      </c>
      <c r="AF16">
        <f>5+1/8</f>
        <v>5.125</v>
      </c>
      <c r="AG16" s="2">
        <v>0.63</v>
      </c>
      <c r="AH16" s="2">
        <v>1.25</v>
      </c>
      <c r="AI16" s="2">
        <v>0.7</v>
      </c>
      <c r="AJ16" s="2">
        <v>4.0999999999999996</v>
      </c>
      <c r="AK16" s="2">
        <v>1</v>
      </c>
      <c r="AL16" s="2">
        <v>0.1</v>
      </c>
      <c r="AM16" s="2">
        <v>1</v>
      </c>
      <c r="AN16" s="17">
        <f t="shared" si="30"/>
        <v>0.504</v>
      </c>
      <c r="AO16">
        <f t="shared" si="31"/>
        <v>2.6334</v>
      </c>
      <c r="AP16">
        <v>0</v>
      </c>
      <c r="AS16">
        <f t="shared" si="4"/>
        <v>1.1463414634146341</v>
      </c>
      <c r="AT16">
        <v>13</v>
      </c>
      <c r="AU16">
        <f t="shared" si="21"/>
        <v>45.31</v>
      </c>
      <c r="AV16">
        <f t="shared" si="22"/>
        <v>46.524999999999999</v>
      </c>
      <c r="AW16">
        <f t="shared" si="23"/>
        <v>1.2149999999999963</v>
      </c>
      <c r="AY16">
        <f t="shared" si="11"/>
        <v>3.8650000000000002</v>
      </c>
      <c r="AZ16">
        <f t="shared" si="12"/>
        <v>4.6150000000000002</v>
      </c>
      <c r="BA16">
        <f t="shared" si="13"/>
        <v>17.836975000000002</v>
      </c>
      <c r="BB16">
        <f t="shared" si="14"/>
        <v>4.75</v>
      </c>
      <c r="BC16">
        <f t="shared" si="15"/>
        <v>4.7699999999999996</v>
      </c>
      <c r="BD16">
        <v>15.5</v>
      </c>
      <c r="BE16">
        <f t="shared" si="16"/>
        <v>0</v>
      </c>
      <c r="BG16">
        <f t="shared" si="17"/>
        <v>5.0350000000000001</v>
      </c>
      <c r="BH16">
        <f t="shared" si="18"/>
        <v>68.625</v>
      </c>
      <c r="BI16">
        <f t="shared" si="19"/>
        <v>45.84</v>
      </c>
      <c r="BJ16">
        <f t="shared" si="20"/>
        <v>63.59</v>
      </c>
    </row>
    <row r="17" spans="1:62" x14ac:dyDescent="0.25">
      <c r="A17" t="s">
        <v>55</v>
      </c>
      <c r="B17" s="1">
        <f t="shared" si="5"/>
        <v>0.63</v>
      </c>
      <c r="C17">
        <v>4.3499999999999996</v>
      </c>
      <c r="D17" s="2">
        <v>0.75</v>
      </c>
      <c r="E17" s="17">
        <f t="shared" si="24"/>
        <v>1.1060000000000001</v>
      </c>
      <c r="F17" s="17">
        <f t="shared" si="25"/>
        <v>1.706</v>
      </c>
      <c r="G17" s="1">
        <f t="shared" si="0"/>
        <v>1.1060000000000001</v>
      </c>
      <c r="H17" s="17">
        <f t="shared" si="26"/>
        <v>3</v>
      </c>
      <c r="I17" s="2">
        <v>3.85</v>
      </c>
      <c r="J17" s="2">
        <v>6</v>
      </c>
      <c r="K17" s="2">
        <v>0.35</v>
      </c>
      <c r="L17" s="2">
        <v>1</v>
      </c>
      <c r="M17" s="17">
        <f t="shared" si="27"/>
        <v>1.5060000000000002</v>
      </c>
      <c r="N17" s="1">
        <f t="shared" si="6"/>
        <v>1.1060000000000001</v>
      </c>
      <c r="O17" s="17">
        <f t="shared" si="28"/>
        <v>1.9060000000000001</v>
      </c>
      <c r="P17">
        <v>7</v>
      </c>
      <c r="Q17" s="1">
        <f t="shared" si="1"/>
        <v>1.5060000000000002</v>
      </c>
      <c r="R17" s="17">
        <v>1.5</v>
      </c>
      <c r="S17" s="20">
        <v>1.5</v>
      </c>
      <c r="T17" s="1">
        <f t="shared" si="7"/>
        <v>0.63</v>
      </c>
      <c r="U17" s="2">
        <v>0.44</v>
      </c>
      <c r="V17" s="2">
        <v>2.16</v>
      </c>
      <c r="W17" s="2">
        <v>0.85</v>
      </c>
      <c r="X17" s="2">
        <v>3.66</v>
      </c>
      <c r="Y17" s="15">
        <v>11.25</v>
      </c>
      <c r="Z17" s="2">
        <v>1.25</v>
      </c>
      <c r="AA17" s="17">
        <f t="shared" si="33"/>
        <v>1.6984999999999999</v>
      </c>
      <c r="AB17" s="1">
        <f t="shared" si="2"/>
        <v>1.6984999999999999</v>
      </c>
      <c r="AC17" s="1">
        <f t="shared" si="3"/>
        <v>3.6775000000000002</v>
      </c>
      <c r="AD17">
        <f>5+11/16</f>
        <v>5.6875</v>
      </c>
      <c r="AE17">
        <f>48</f>
        <v>48</v>
      </c>
      <c r="AF17">
        <f>4+15/16</f>
        <v>4.9375</v>
      </c>
      <c r="AG17" s="2">
        <v>0.63</v>
      </c>
      <c r="AH17" s="2">
        <v>1.25</v>
      </c>
      <c r="AI17" s="2">
        <v>0.7</v>
      </c>
      <c r="AJ17" s="2">
        <v>4.0999999999999996</v>
      </c>
      <c r="AK17" s="2">
        <v>1</v>
      </c>
      <c r="AL17" s="2">
        <v>0.1</v>
      </c>
      <c r="AM17" s="2">
        <v>1</v>
      </c>
      <c r="AN17" s="17">
        <f t="shared" si="30"/>
        <v>0.504</v>
      </c>
      <c r="AO17">
        <f t="shared" si="31"/>
        <v>2.6334</v>
      </c>
      <c r="AP17">
        <v>0</v>
      </c>
      <c r="AS17">
        <f t="shared" si="4"/>
        <v>1.1518987341772151</v>
      </c>
      <c r="AT17">
        <v>14</v>
      </c>
      <c r="AU17">
        <f t="shared" si="21"/>
        <v>42.76</v>
      </c>
      <c r="AV17">
        <f t="shared" si="22"/>
        <v>43.65</v>
      </c>
      <c r="AW17">
        <f t="shared" si="23"/>
        <v>0.89000000000000057</v>
      </c>
      <c r="AY17">
        <f t="shared" si="11"/>
        <v>3.6775000000000002</v>
      </c>
      <c r="AZ17">
        <f t="shared" si="12"/>
        <v>4.4275000000000002</v>
      </c>
      <c r="BA17">
        <f t="shared" si="13"/>
        <v>16.282131250000003</v>
      </c>
      <c r="BB17">
        <f t="shared" si="14"/>
        <v>4.54</v>
      </c>
      <c r="BC17">
        <f t="shared" si="15"/>
        <v>4.55</v>
      </c>
      <c r="BD17">
        <f t="shared" si="32"/>
        <v>15.5</v>
      </c>
      <c r="BE17">
        <f t="shared" si="16"/>
        <v>0</v>
      </c>
      <c r="BG17">
        <f t="shared" si="17"/>
        <v>13.41</v>
      </c>
      <c r="BH17">
        <f t="shared" si="18"/>
        <v>54</v>
      </c>
      <c r="BI17">
        <f t="shared" si="19"/>
        <v>34.590000000000003</v>
      </c>
      <c r="BJ17">
        <f t="shared" si="20"/>
        <v>40.590000000000003</v>
      </c>
    </row>
    <row r="18" spans="1:62" x14ac:dyDescent="0.25">
      <c r="A18" t="s">
        <v>56</v>
      </c>
      <c r="B18" s="1">
        <f t="shared" si="5"/>
        <v>0.63</v>
      </c>
      <c r="C18">
        <v>4.3499999999999996</v>
      </c>
      <c r="D18" s="2">
        <v>0.75</v>
      </c>
      <c r="E18" s="17">
        <f t="shared" si="24"/>
        <v>1.0640000000000001</v>
      </c>
      <c r="F18" s="17">
        <f t="shared" si="25"/>
        <v>1.6640000000000001</v>
      </c>
      <c r="G18" s="1">
        <f t="shared" si="0"/>
        <v>1.0640000000000001</v>
      </c>
      <c r="H18" s="17">
        <f t="shared" si="26"/>
        <v>8.875</v>
      </c>
      <c r="I18" s="2">
        <v>3.85</v>
      </c>
      <c r="J18" s="2">
        <v>6</v>
      </c>
      <c r="K18" s="2">
        <v>0.35</v>
      </c>
      <c r="L18" s="2">
        <v>1</v>
      </c>
      <c r="M18" s="17">
        <f t="shared" si="27"/>
        <v>1.464</v>
      </c>
      <c r="N18" s="1">
        <f t="shared" si="6"/>
        <v>1.0640000000000001</v>
      </c>
      <c r="O18" s="17">
        <f t="shared" si="28"/>
        <v>1.8640000000000001</v>
      </c>
      <c r="P18">
        <v>18.75</v>
      </c>
      <c r="Q18" s="1">
        <f t="shared" si="1"/>
        <v>1.464</v>
      </c>
      <c r="R18" s="17">
        <v>1.5</v>
      </c>
      <c r="S18" s="20">
        <v>1.5</v>
      </c>
      <c r="T18" s="1">
        <f t="shared" si="7"/>
        <v>0.63</v>
      </c>
      <c r="U18" s="2">
        <v>0.44</v>
      </c>
      <c r="V18" s="2">
        <v>2.16</v>
      </c>
      <c r="W18" s="2">
        <v>0.85</v>
      </c>
      <c r="X18" s="2">
        <v>3.66</v>
      </c>
      <c r="Y18" s="14">
        <v>2</v>
      </c>
      <c r="Z18" s="2">
        <v>1.25</v>
      </c>
      <c r="AA18" s="17">
        <f t="shared" si="33"/>
        <v>1.6339999999999999</v>
      </c>
      <c r="AB18" s="1">
        <f t="shared" si="2"/>
        <v>1.6339999999999999</v>
      </c>
      <c r="AC18" s="1">
        <f t="shared" si="3"/>
        <v>3.49</v>
      </c>
      <c r="AD18">
        <v>5.5</v>
      </c>
      <c r="AE18">
        <f>45.75</f>
        <v>45.75</v>
      </c>
      <c r="AF18">
        <f>4.75</f>
        <v>4.75</v>
      </c>
      <c r="AG18" s="2">
        <v>0.63</v>
      </c>
      <c r="AH18" s="2">
        <v>1.25</v>
      </c>
      <c r="AI18" s="2">
        <v>0.7</v>
      </c>
      <c r="AJ18" s="2">
        <v>4.0999999999999996</v>
      </c>
      <c r="AK18" s="2">
        <v>1</v>
      </c>
      <c r="AL18" s="2">
        <v>0.1</v>
      </c>
      <c r="AM18" s="2">
        <v>1</v>
      </c>
      <c r="AN18" s="17">
        <f t="shared" si="30"/>
        <v>0.504</v>
      </c>
      <c r="AO18">
        <f t="shared" si="31"/>
        <v>2.6334</v>
      </c>
      <c r="AP18">
        <v>0</v>
      </c>
      <c r="AS18">
        <f t="shared" si="4"/>
        <v>1.1578947368421053</v>
      </c>
      <c r="AT18">
        <v>15</v>
      </c>
      <c r="AU18">
        <f t="shared" si="21"/>
        <v>40.36</v>
      </c>
      <c r="AV18">
        <f t="shared" si="22"/>
        <v>41.4</v>
      </c>
      <c r="AW18">
        <f t="shared" si="23"/>
        <v>1.0399999999999991</v>
      </c>
      <c r="AY18">
        <f t="shared" si="11"/>
        <v>3.49</v>
      </c>
      <c r="AZ18">
        <f t="shared" si="12"/>
        <v>4.24</v>
      </c>
      <c r="BA18">
        <f t="shared" si="13"/>
        <v>14.797600000000001</v>
      </c>
      <c r="BB18">
        <f t="shared" si="14"/>
        <v>4.3499999999999996</v>
      </c>
      <c r="BC18">
        <f t="shared" si="15"/>
        <v>4.34</v>
      </c>
      <c r="BD18">
        <f t="shared" si="32"/>
        <v>15.5</v>
      </c>
      <c r="BE18">
        <f t="shared" si="16"/>
        <v>0</v>
      </c>
      <c r="BG18">
        <f t="shared" si="17"/>
        <v>4.16</v>
      </c>
      <c r="BH18">
        <f t="shared" si="18"/>
        <v>63.5</v>
      </c>
      <c r="BI18">
        <f t="shared" si="19"/>
        <v>41.59</v>
      </c>
      <c r="BJ18">
        <f t="shared" si="20"/>
        <v>59.34</v>
      </c>
    </row>
    <row r="19" spans="1:62" x14ac:dyDescent="0.25">
      <c r="A19" t="s">
        <v>57</v>
      </c>
      <c r="B19" s="1">
        <f t="shared" si="5"/>
        <v>0.63</v>
      </c>
      <c r="C19">
        <v>4.05</v>
      </c>
      <c r="D19" s="2">
        <v>0.75</v>
      </c>
      <c r="E19" s="17">
        <f t="shared" si="24"/>
        <v>1.022</v>
      </c>
      <c r="F19" s="17">
        <f t="shared" si="25"/>
        <v>1.6219999999999999</v>
      </c>
      <c r="G19" s="1">
        <f t="shared" si="0"/>
        <v>1.022</v>
      </c>
      <c r="H19" s="17">
        <f t="shared" si="26"/>
        <v>3</v>
      </c>
      <c r="I19" s="2">
        <v>3.1</v>
      </c>
      <c r="J19" s="2">
        <v>5</v>
      </c>
      <c r="K19" s="2">
        <v>0.35</v>
      </c>
      <c r="L19" s="2">
        <v>1</v>
      </c>
      <c r="M19" s="17">
        <f t="shared" si="27"/>
        <v>1.4220000000000002</v>
      </c>
      <c r="N19" s="1">
        <f t="shared" si="6"/>
        <v>1.022</v>
      </c>
      <c r="O19" s="17">
        <f t="shared" si="28"/>
        <v>1.8220000000000001</v>
      </c>
      <c r="P19">
        <v>7</v>
      </c>
      <c r="Q19" s="1">
        <f t="shared" si="1"/>
        <v>1.4220000000000002</v>
      </c>
      <c r="R19" s="17">
        <v>1.5</v>
      </c>
      <c r="S19" s="20">
        <v>1.5</v>
      </c>
      <c r="T19" s="1">
        <f t="shared" si="7"/>
        <v>0.63</v>
      </c>
      <c r="U19" s="2">
        <v>0.44</v>
      </c>
      <c r="V19" s="2">
        <v>2.16</v>
      </c>
      <c r="W19" s="2">
        <v>0.85</v>
      </c>
      <c r="X19" s="2">
        <v>3.66</v>
      </c>
      <c r="Y19" s="15">
        <v>9.5</v>
      </c>
      <c r="Z19" s="2">
        <v>1.25</v>
      </c>
      <c r="AA19" s="17">
        <f t="shared" si="33"/>
        <v>1.5694999999999999</v>
      </c>
      <c r="AB19" s="1">
        <f t="shared" si="2"/>
        <v>1.5694999999999999</v>
      </c>
      <c r="AC19" s="1">
        <f t="shared" si="3"/>
        <v>3.3025000000000002</v>
      </c>
      <c r="AD19">
        <f>5+5/16</f>
        <v>5.3125</v>
      </c>
      <c r="AE19">
        <f>42+7/8</f>
        <v>42.875</v>
      </c>
      <c r="AF19">
        <f>4+9/16</f>
        <v>4.5625</v>
      </c>
      <c r="AG19" s="2">
        <v>0.63</v>
      </c>
      <c r="AH19" s="2">
        <v>1.25</v>
      </c>
      <c r="AI19" s="2">
        <v>0.7</v>
      </c>
      <c r="AJ19" s="2">
        <v>4.0999999999999996</v>
      </c>
      <c r="AK19" s="2">
        <v>1</v>
      </c>
      <c r="AL19" s="2">
        <v>0.1</v>
      </c>
      <c r="AM19" s="2">
        <v>1</v>
      </c>
      <c r="AN19" s="17">
        <f t="shared" si="30"/>
        <v>0.504</v>
      </c>
      <c r="AO19">
        <f t="shared" si="31"/>
        <v>2.6334</v>
      </c>
      <c r="AP19">
        <v>0</v>
      </c>
      <c r="AS19">
        <f t="shared" si="4"/>
        <v>1.1643835616438356</v>
      </c>
      <c r="AT19">
        <v>16</v>
      </c>
      <c r="AU19">
        <f t="shared" si="21"/>
        <v>38.1</v>
      </c>
      <c r="AV19">
        <f t="shared" si="22"/>
        <v>38.825000000000003</v>
      </c>
      <c r="AW19">
        <f t="shared" si="23"/>
        <v>0.72500000000000142</v>
      </c>
      <c r="AY19">
        <f t="shared" si="11"/>
        <v>3.3025000000000002</v>
      </c>
      <c r="AZ19">
        <f t="shared" si="12"/>
        <v>4.0525000000000002</v>
      </c>
      <c r="BA19">
        <f t="shared" si="13"/>
        <v>13.383381250000001</v>
      </c>
      <c r="BB19">
        <f t="shared" si="14"/>
        <v>4.16</v>
      </c>
      <c r="BC19">
        <f t="shared" si="15"/>
        <v>4.13</v>
      </c>
      <c r="BD19">
        <f t="shared" si="32"/>
        <v>15.5</v>
      </c>
      <c r="BE19">
        <f t="shared" si="16"/>
        <v>0</v>
      </c>
      <c r="BG19">
        <f t="shared" si="17"/>
        <v>11.66</v>
      </c>
      <c r="BH19">
        <f t="shared" si="18"/>
        <v>48.875</v>
      </c>
      <c r="BI19">
        <f t="shared" si="19"/>
        <v>31.215</v>
      </c>
      <c r="BJ19">
        <f t="shared" si="20"/>
        <v>37.215000000000003</v>
      </c>
    </row>
    <row r="20" spans="1:62" x14ac:dyDescent="0.25">
      <c r="A20" t="s">
        <v>58</v>
      </c>
      <c r="B20" s="1">
        <f t="shared" si="5"/>
        <v>0.63</v>
      </c>
      <c r="C20">
        <v>4.05</v>
      </c>
      <c r="D20" s="2">
        <v>0.65</v>
      </c>
      <c r="E20" s="17">
        <f t="shared" si="24"/>
        <v>0.98</v>
      </c>
      <c r="F20" s="17">
        <f t="shared" si="25"/>
        <v>1.58</v>
      </c>
      <c r="G20" s="1">
        <f t="shared" si="0"/>
        <v>0.98</v>
      </c>
      <c r="H20" s="17">
        <f t="shared" si="26"/>
        <v>8.875</v>
      </c>
      <c r="I20" s="2">
        <v>3.1</v>
      </c>
      <c r="J20" s="2">
        <v>5</v>
      </c>
      <c r="K20" s="2">
        <v>0.3</v>
      </c>
      <c r="L20" s="2">
        <v>1</v>
      </c>
      <c r="M20" s="17">
        <f t="shared" si="27"/>
        <v>1.38</v>
      </c>
      <c r="N20" s="1">
        <f t="shared" si="6"/>
        <v>0.98</v>
      </c>
      <c r="O20" s="17">
        <f t="shared" si="28"/>
        <v>1.78</v>
      </c>
      <c r="P20">
        <v>18.75</v>
      </c>
      <c r="Q20" s="1">
        <f t="shared" si="1"/>
        <v>1.38</v>
      </c>
      <c r="R20" s="17">
        <v>1.5</v>
      </c>
      <c r="S20" s="20">
        <v>1.5</v>
      </c>
      <c r="T20" s="1">
        <f t="shared" si="7"/>
        <v>0.63</v>
      </c>
      <c r="U20" s="2">
        <v>0.44</v>
      </c>
      <c r="V20" s="2">
        <v>2.16</v>
      </c>
      <c r="W20" s="2">
        <v>0.85</v>
      </c>
      <c r="X20" s="2">
        <v>3.66</v>
      </c>
      <c r="Y20" s="14">
        <v>1.75</v>
      </c>
      <c r="Z20" s="2">
        <v>1.25</v>
      </c>
      <c r="AA20" s="17">
        <f t="shared" si="33"/>
        <v>1.5049999999999999</v>
      </c>
      <c r="AB20" s="1">
        <f t="shared" si="2"/>
        <v>1.5049999999999999</v>
      </c>
      <c r="AC20" s="1">
        <f t="shared" si="3"/>
        <v>3.1150000000000002</v>
      </c>
      <c r="AD20">
        <f>5+1/16</f>
        <v>5.0625</v>
      </c>
      <c r="AE20">
        <f>41.25</f>
        <v>41.25</v>
      </c>
      <c r="AF20">
        <f>4+3/8</f>
        <v>4.375</v>
      </c>
      <c r="AG20" s="2">
        <v>0.63</v>
      </c>
      <c r="AH20" s="2">
        <v>1.25</v>
      </c>
      <c r="AI20" s="2">
        <v>0.7</v>
      </c>
      <c r="AJ20" s="2">
        <v>4.0999999999999996</v>
      </c>
      <c r="AK20" s="2">
        <v>1</v>
      </c>
      <c r="AL20" s="2">
        <v>0.1</v>
      </c>
      <c r="AM20" s="2">
        <v>1</v>
      </c>
      <c r="AN20" s="17">
        <f t="shared" si="30"/>
        <v>0.504</v>
      </c>
      <c r="AO20">
        <f t="shared" si="31"/>
        <v>2.6334</v>
      </c>
      <c r="AP20">
        <v>0</v>
      </c>
      <c r="AS20">
        <f t="shared" si="4"/>
        <v>1.1571428571428573</v>
      </c>
      <c r="AT20">
        <v>17</v>
      </c>
      <c r="AU20">
        <f t="shared" si="21"/>
        <v>35.96</v>
      </c>
      <c r="AV20">
        <f t="shared" si="22"/>
        <v>37.200000000000003</v>
      </c>
      <c r="AW20">
        <f t="shared" si="23"/>
        <v>1.240000000000002</v>
      </c>
      <c r="AY20">
        <f t="shared" si="11"/>
        <v>3.1150000000000002</v>
      </c>
      <c r="AZ20">
        <f t="shared" si="12"/>
        <v>3.8025000000000002</v>
      </c>
      <c r="BA20">
        <f t="shared" si="13"/>
        <v>11.844787500000001</v>
      </c>
      <c r="BB20">
        <f t="shared" si="14"/>
        <v>3.83</v>
      </c>
      <c r="BC20">
        <f t="shared" si="15"/>
        <v>3.88</v>
      </c>
      <c r="BD20">
        <v>14.8</v>
      </c>
      <c r="BE20">
        <f t="shared" si="16"/>
        <v>0</v>
      </c>
      <c r="BG20">
        <f t="shared" si="17"/>
        <v>3.91</v>
      </c>
      <c r="BH20">
        <f t="shared" si="18"/>
        <v>59</v>
      </c>
      <c r="BI20">
        <f t="shared" si="19"/>
        <v>37.340000000000003</v>
      </c>
      <c r="BJ20">
        <f t="shared" si="20"/>
        <v>55.09</v>
      </c>
    </row>
    <row r="21" spans="1:62" x14ac:dyDescent="0.25">
      <c r="A21" t="s">
        <v>59</v>
      </c>
      <c r="B21" s="1">
        <f t="shared" si="5"/>
        <v>0.63</v>
      </c>
      <c r="C21">
        <v>4.05</v>
      </c>
      <c r="D21" s="2">
        <v>0.65</v>
      </c>
      <c r="E21" s="17">
        <f t="shared" si="24"/>
        <v>0.95200000000000007</v>
      </c>
      <c r="F21" s="17">
        <f t="shared" si="25"/>
        <v>1.552</v>
      </c>
      <c r="G21" s="1">
        <f t="shared" si="0"/>
        <v>0.95200000000000007</v>
      </c>
      <c r="H21" s="17">
        <f t="shared" si="26"/>
        <v>3</v>
      </c>
      <c r="I21" s="2">
        <v>3.1</v>
      </c>
      <c r="J21" s="2">
        <v>5</v>
      </c>
      <c r="K21" s="2">
        <v>0.3</v>
      </c>
      <c r="L21" s="2">
        <v>1</v>
      </c>
      <c r="M21" s="17">
        <f t="shared" si="27"/>
        <v>1.3520000000000003</v>
      </c>
      <c r="N21" s="1">
        <f t="shared" si="6"/>
        <v>0.95200000000000007</v>
      </c>
      <c r="O21" s="17">
        <f t="shared" si="28"/>
        <v>1.7520000000000002</v>
      </c>
      <c r="P21">
        <v>7</v>
      </c>
      <c r="Q21" s="1">
        <f t="shared" si="1"/>
        <v>1.3520000000000003</v>
      </c>
      <c r="R21" s="17">
        <v>1.5</v>
      </c>
      <c r="S21" s="20">
        <v>1.5</v>
      </c>
      <c r="T21" s="1">
        <f t="shared" si="7"/>
        <v>0.63</v>
      </c>
      <c r="U21" s="2">
        <v>0.44</v>
      </c>
      <c r="V21" s="2">
        <v>2.16</v>
      </c>
      <c r="W21" s="2">
        <v>0.85</v>
      </c>
      <c r="X21" s="2">
        <v>3.66</v>
      </c>
      <c r="Y21" s="15">
        <f>8+3/8</f>
        <v>8.375</v>
      </c>
      <c r="Z21" s="2">
        <v>1.25</v>
      </c>
      <c r="AA21" s="17">
        <f>AF21*0.322</f>
        <v>1.3685</v>
      </c>
      <c r="AB21" s="1">
        <f t="shared" si="2"/>
        <v>1.3685</v>
      </c>
      <c r="AC21" s="1">
        <f t="shared" si="3"/>
        <v>2.99</v>
      </c>
      <c r="AD21">
        <f>4+13/16</f>
        <v>4.8125</v>
      </c>
      <c r="AE21">
        <v>39.25</v>
      </c>
      <c r="AF21">
        <f>4.25</f>
        <v>4.25</v>
      </c>
      <c r="AG21" s="2">
        <v>0.63</v>
      </c>
      <c r="AH21" s="2">
        <v>1.25</v>
      </c>
      <c r="AI21" s="2">
        <v>0.7</v>
      </c>
      <c r="AJ21" s="2">
        <v>4.0999999999999996</v>
      </c>
      <c r="AK21" s="2">
        <v>1</v>
      </c>
      <c r="AL21" s="2">
        <v>0.1</v>
      </c>
      <c r="AM21" s="2">
        <v>1</v>
      </c>
      <c r="AN21" s="17">
        <f t="shared" si="30"/>
        <v>0.504</v>
      </c>
      <c r="AO21">
        <f t="shared" si="31"/>
        <v>2.6334</v>
      </c>
      <c r="AP21">
        <v>0</v>
      </c>
      <c r="AS21">
        <f t="shared" si="4"/>
        <v>1.1323529411764706</v>
      </c>
      <c r="AT21">
        <v>18</v>
      </c>
      <c r="AU21">
        <f t="shared" si="21"/>
        <v>33.94</v>
      </c>
      <c r="AV21">
        <f t="shared" si="22"/>
        <v>35.200000000000003</v>
      </c>
      <c r="AW21">
        <f t="shared" si="23"/>
        <v>1.2600000000000051</v>
      </c>
      <c r="AY21">
        <f t="shared" si="11"/>
        <v>2.99</v>
      </c>
      <c r="AZ21">
        <f t="shared" si="12"/>
        <v>3.5525000000000002</v>
      </c>
      <c r="BA21">
        <f t="shared" si="13"/>
        <v>10.621975000000001</v>
      </c>
      <c r="BB21">
        <f t="shared" si="14"/>
        <v>3.66</v>
      </c>
      <c r="BC21">
        <f t="shared" si="15"/>
        <v>3.68</v>
      </c>
      <c r="BD21">
        <f t="shared" si="32"/>
        <v>14.8</v>
      </c>
      <c r="BE21">
        <f t="shared" si="16"/>
        <v>0</v>
      </c>
      <c r="BG21">
        <f t="shared" si="17"/>
        <v>10.535</v>
      </c>
      <c r="BH21">
        <f t="shared" si="18"/>
        <v>45.25</v>
      </c>
      <c r="BI21">
        <f t="shared" si="19"/>
        <v>28.715</v>
      </c>
      <c r="BJ21">
        <f t="shared" si="20"/>
        <v>34.715000000000003</v>
      </c>
    </row>
    <row r="22" spans="1:62" s="7" customFormat="1" x14ac:dyDescent="0.25">
      <c r="A22" s="7" t="s">
        <v>60</v>
      </c>
      <c r="B22" s="8">
        <f t="shared" si="5"/>
        <v>0.63</v>
      </c>
      <c r="C22" s="7">
        <v>4.05</v>
      </c>
      <c r="D22" s="9">
        <v>0.65</v>
      </c>
      <c r="E22" s="17">
        <f t="shared" si="24"/>
        <v>0.93100000000000005</v>
      </c>
      <c r="F22" s="17">
        <f t="shared" si="25"/>
        <v>1.5310000000000001</v>
      </c>
      <c r="G22" s="1">
        <f t="shared" si="0"/>
        <v>0.93100000000000005</v>
      </c>
      <c r="H22" s="17">
        <f t="shared" si="26"/>
        <v>8.875</v>
      </c>
      <c r="I22" s="2">
        <v>3.1</v>
      </c>
      <c r="J22" s="2">
        <v>5</v>
      </c>
      <c r="K22" s="2">
        <v>0.3</v>
      </c>
      <c r="L22" s="2">
        <v>1</v>
      </c>
      <c r="M22" s="17">
        <f t="shared" si="27"/>
        <v>1.331</v>
      </c>
      <c r="N22" s="1">
        <f t="shared" si="6"/>
        <v>0.93100000000000005</v>
      </c>
      <c r="O22" s="17">
        <f t="shared" si="28"/>
        <v>1.7310000000000001</v>
      </c>
      <c r="P22" s="7">
        <v>18.75</v>
      </c>
      <c r="Q22" s="1">
        <f t="shared" si="1"/>
        <v>1.331</v>
      </c>
      <c r="R22" s="17">
        <v>1.5</v>
      </c>
      <c r="S22" s="20">
        <v>1.5</v>
      </c>
      <c r="T22" s="8">
        <f t="shared" si="7"/>
        <v>0.63</v>
      </c>
      <c r="U22" s="2">
        <v>0.44</v>
      </c>
      <c r="V22" s="2">
        <v>2.16</v>
      </c>
      <c r="W22" s="2">
        <v>0.85</v>
      </c>
      <c r="X22" s="2">
        <v>3.66</v>
      </c>
      <c r="Y22" s="17">
        <v>1.25</v>
      </c>
      <c r="Z22" s="9">
        <v>1.25</v>
      </c>
      <c r="AA22" s="17">
        <f t="shared" ref="AA22:AA24" si="34">AF22*0.322</f>
        <v>1.3383125</v>
      </c>
      <c r="AB22" s="8">
        <f t="shared" si="2"/>
        <v>1.3383125</v>
      </c>
      <c r="AC22" s="8">
        <f t="shared" si="3"/>
        <v>2.8962500000000002</v>
      </c>
      <c r="AD22" s="12">
        <f>AD23+(AD21-AD23)/2</f>
        <v>4.6875</v>
      </c>
      <c r="AE22" s="12">
        <f>AE23+(AE21-AE23)/2</f>
        <v>37</v>
      </c>
      <c r="AF22" s="12">
        <f>AF23+(AF21-AF23)/2</f>
        <v>4.15625</v>
      </c>
      <c r="AG22" s="9">
        <v>0.63</v>
      </c>
      <c r="AH22" s="9">
        <v>1.25</v>
      </c>
      <c r="AI22" s="9">
        <v>0.7</v>
      </c>
      <c r="AJ22" s="9">
        <v>4.0999999999999996</v>
      </c>
      <c r="AK22" s="9">
        <v>1</v>
      </c>
      <c r="AL22" s="9">
        <v>0.1</v>
      </c>
      <c r="AM22" s="9">
        <v>1</v>
      </c>
      <c r="AN22" s="17">
        <f t="shared" si="30"/>
        <v>0.504</v>
      </c>
      <c r="AO22">
        <f t="shared" si="31"/>
        <v>2.6334</v>
      </c>
      <c r="AP22">
        <v>0</v>
      </c>
      <c r="AQ22"/>
      <c r="AR22"/>
      <c r="AS22" s="7">
        <f t="shared" si="4"/>
        <v>1.1278195488721805</v>
      </c>
      <c r="AT22" s="7">
        <v>19</v>
      </c>
      <c r="AU22" s="7">
        <f t="shared" si="21"/>
        <v>32.04</v>
      </c>
      <c r="AV22" s="13">
        <f t="shared" si="22"/>
        <v>32.950000000000003</v>
      </c>
      <c r="AW22" s="7">
        <f t="shared" si="23"/>
        <v>0.91000000000000369</v>
      </c>
      <c r="AY22">
        <f t="shared" si="11"/>
        <v>2.8962500000000002</v>
      </c>
      <c r="AZ22">
        <f t="shared" si="12"/>
        <v>3.4275000000000002</v>
      </c>
      <c r="BA22">
        <f t="shared" si="13"/>
        <v>9.9268968750000006</v>
      </c>
      <c r="BB22">
        <f t="shared" si="14"/>
        <v>3.53</v>
      </c>
      <c r="BC22">
        <f t="shared" si="15"/>
        <v>3.56</v>
      </c>
      <c r="BD22">
        <v>15</v>
      </c>
      <c r="BE22">
        <f t="shared" si="16"/>
        <v>0</v>
      </c>
      <c r="BG22">
        <f t="shared" si="17"/>
        <v>3.41</v>
      </c>
      <c r="BH22">
        <f t="shared" si="18"/>
        <v>54.75</v>
      </c>
      <c r="BI22">
        <f t="shared" si="19"/>
        <v>33.590000000000003</v>
      </c>
      <c r="BJ22">
        <f t="shared" si="20"/>
        <v>51.34</v>
      </c>
    </row>
    <row r="23" spans="1:62" x14ac:dyDescent="0.25">
      <c r="A23" t="s">
        <v>61</v>
      </c>
      <c r="B23" s="1">
        <f t="shared" si="5"/>
        <v>0.63</v>
      </c>
      <c r="C23">
        <v>3.7</v>
      </c>
      <c r="D23" s="2">
        <v>0.65</v>
      </c>
      <c r="E23" s="17">
        <f t="shared" si="24"/>
        <v>0.91</v>
      </c>
      <c r="F23" s="17">
        <f t="shared" si="25"/>
        <v>1.51</v>
      </c>
      <c r="G23" s="1">
        <f t="shared" si="0"/>
        <v>0.91</v>
      </c>
      <c r="H23" s="17">
        <f t="shared" si="26"/>
        <v>3</v>
      </c>
      <c r="I23" s="2">
        <v>3.1</v>
      </c>
      <c r="J23" s="2">
        <v>5</v>
      </c>
      <c r="K23" s="2">
        <v>0.3</v>
      </c>
      <c r="L23" s="2">
        <v>1</v>
      </c>
      <c r="M23" s="17">
        <f t="shared" si="27"/>
        <v>1.31</v>
      </c>
      <c r="N23" s="1">
        <f t="shared" si="6"/>
        <v>0.91</v>
      </c>
      <c r="O23" s="17">
        <f t="shared" si="28"/>
        <v>1.71</v>
      </c>
      <c r="P23">
        <v>7</v>
      </c>
      <c r="Q23" s="1">
        <f t="shared" si="1"/>
        <v>1.31</v>
      </c>
      <c r="R23" s="17">
        <v>1.5</v>
      </c>
      <c r="S23" s="20">
        <v>1.5</v>
      </c>
      <c r="T23" s="1">
        <f t="shared" si="7"/>
        <v>0.63</v>
      </c>
      <c r="U23" s="2">
        <v>0.44</v>
      </c>
      <c r="V23" s="2">
        <v>2.16</v>
      </c>
      <c r="W23" s="2">
        <v>0.85</v>
      </c>
      <c r="X23" s="2">
        <v>3.66</v>
      </c>
      <c r="Y23" s="15">
        <v>5.75</v>
      </c>
      <c r="Z23" s="2">
        <v>1.25</v>
      </c>
      <c r="AA23" s="17">
        <f t="shared" si="34"/>
        <v>1.308125</v>
      </c>
      <c r="AB23" s="1">
        <f t="shared" si="2"/>
        <v>1.308125</v>
      </c>
      <c r="AC23" s="1">
        <f t="shared" si="3"/>
        <v>2.8025000000000002</v>
      </c>
      <c r="AD23">
        <f>4+9/16</f>
        <v>4.5625</v>
      </c>
      <c r="AE23">
        <v>34.75</v>
      </c>
      <c r="AF23">
        <f>4+1/16</f>
        <v>4.0625</v>
      </c>
      <c r="AG23" s="2">
        <v>0.63</v>
      </c>
      <c r="AH23" s="2">
        <v>1.25</v>
      </c>
      <c r="AI23" s="2">
        <v>0.7</v>
      </c>
      <c r="AJ23" s="2">
        <v>4.0999999999999996</v>
      </c>
      <c r="AK23" s="2">
        <v>1</v>
      </c>
      <c r="AL23" s="2">
        <v>0.1</v>
      </c>
      <c r="AM23" s="2">
        <v>1</v>
      </c>
      <c r="AN23" s="17">
        <f t="shared" si="30"/>
        <v>0.504</v>
      </c>
      <c r="AO23">
        <f t="shared" si="31"/>
        <v>2.6334</v>
      </c>
      <c r="AP23">
        <v>0</v>
      </c>
      <c r="AS23">
        <f t="shared" si="4"/>
        <v>1.1230769230769231</v>
      </c>
      <c r="AT23">
        <v>20</v>
      </c>
      <c r="AU23">
        <f t="shared" si="21"/>
        <v>30.24</v>
      </c>
      <c r="AV23">
        <f t="shared" si="22"/>
        <v>31.05</v>
      </c>
      <c r="AW23">
        <f t="shared" si="23"/>
        <v>0.81000000000000227</v>
      </c>
      <c r="AY23">
        <f t="shared" si="11"/>
        <v>2.8025000000000002</v>
      </c>
      <c r="AZ23">
        <f t="shared" si="12"/>
        <v>3.3025000000000002</v>
      </c>
      <c r="BA23">
        <f t="shared" si="13"/>
        <v>9.2552562500000022</v>
      </c>
      <c r="BB23">
        <f t="shared" si="14"/>
        <v>3.41</v>
      </c>
      <c r="BC23">
        <f t="shared" si="15"/>
        <v>3.43</v>
      </c>
      <c r="BD23">
        <v>15.2</v>
      </c>
      <c r="BE23">
        <f t="shared" si="16"/>
        <v>0</v>
      </c>
      <c r="BG23">
        <f t="shared" si="17"/>
        <v>7.91</v>
      </c>
      <c r="BH23">
        <f t="shared" si="18"/>
        <v>40.75</v>
      </c>
      <c r="BI23">
        <f t="shared" si="19"/>
        <v>26.84</v>
      </c>
      <c r="BJ23">
        <f t="shared" si="20"/>
        <v>32.840000000000003</v>
      </c>
    </row>
    <row r="24" spans="1:62" x14ac:dyDescent="0.25">
      <c r="A24" t="s">
        <v>62</v>
      </c>
      <c r="B24" s="1">
        <f t="shared" si="5"/>
        <v>0.63</v>
      </c>
      <c r="C24">
        <v>3.7</v>
      </c>
      <c r="D24" s="2">
        <v>0.65</v>
      </c>
      <c r="E24" s="17">
        <f t="shared" si="24"/>
        <v>0.89600000000000002</v>
      </c>
      <c r="F24" s="17">
        <f t="shared" si="25"/>
        <v>1.496</v>
      </c>
      <c r="G24" s="1">
        <f t="shared" si="0"/>
        <v>0.89600000000000002</v>
      </c>
      <c r="H24" s="17">
        <f t="shared" si="26"/>
        <v>8.875</v>
      </c>
      <c r="I24" s="2">
        <v>3.1</v>
      </c>
      <c r="J24" s="2">
        <v>5</v>
      </c>
      <c r="K24" s="2">
        <v>0.3</v>
      </c>
      <c r="L24" s="2">
        <v>1</v>
      </c>
      <c r="M24" s="17">
        <f t="shared" si="27"/>
        <v>1.2960000000000003</v>
      </c>
      <c r="N24" s="1">
        <f t="shared" si="6"/>
        <v>0.89600000000000002</v>
      </c>
      <c r="O24" s="17">
        <f t="shared" si="28"/>
        <v>1.6960000000000002</v>
      </c>
      <c r="P24">
        <v>18.75</v>
      </c>
      <c r="Q24" s="1">
        <f t="shared" si="1"/>
        <v>1.2960000000000003</v>
      </c>
      <c r="R24" s="17">
        <v>1.5</v>
      </c>
      <c r="S24" s="20">
        <v>1.5</v>
      </c>
      <c r="T24" s="1">
        <f t="shared" si="7"/>
        <v>0.63</v>
      </c>
      <c r="U24" s="2">
        <v>0.44</v>
      </c>
      <c r="V24" s="2">
        <v>2.16</v>
      </c>
      <c r="W24" s="2">
        <v>0.85</v>
      </c>
      <c r="X24" s="2">
        <v>3.66</v>
      </c>
      <c r="Y24" s="14">
        <v>0.75</v>
      </c>
      <c r="Z24" s="2">
        <v>1</v>
      </c>
      <c r="AA24" s="17">
        <f t="shared" si="34"/>
        <v>1.288</v>
      </c>
      <c r="AB24" s="1">
        <f t="shared" si="2"/>
        <v>1.288</v>
      </c>
      <c r="AC24" s="1">
        <f t="shared" si="3"/>
        <v>2.74</v>
      </c>
      <c r="AD24">
        <f>4+3/8</f>
        <v>4.375</v>
      </c>
      <c r="AE24">
        <f>33+1/8</f>
        <v>33.125</v>
      </c>
      <c r="AF24">
        <f>4</f>
        <v>4</v>
      </c>
      <c r="AG24" s="2">
        <v>0.63</v>
      </c>
      <c r="AH24" s="2">
        <v>1.25</v>
      </c>
      <c r="AI24" s="2">
        <v>0.7</v>
      </c>
      <c r="AJ24" s="2">
        <v>4.0999999999999996</v>
      </c>
      <c r="AK24" s="2">
        <v>1</v>
      </c>
      <c r="AL24" s="2">
        <v>0.1</v>
      </c>
      <c r="AM24" s="2">
        <v>1</v>
      </c>
      <c r="AN24" s="17">
        <f t="shared" si="30"/>
        <v>0.504</v>
      </c>
      <c r="AO24">
        <f t="shared" si="31"/>
        <v>2.6334</v>
      </c>
      <c r="AP24">
        <v>0</v>
      </c>
      <c r="AS24">
        <f t="shared" si="4"/>
        <v>1.09375</v>
      </c>
      <c r="AT24">
        <v>21</v>
      </c>
      <c r="AU24">
        <f t="shared" si="21"/>
        <v>28.54</v>
      </c>
      <c r="AV24">
        <f t="shared" si="22"/>
        <v>29.425000000000001</v>
      </c>
      <c r="AW24">
        <f t="shared" si="23"/>
        <v>0.88500000000000156</v>
      </c>
      <c r="AY24">
        <f t="shared" si="11"/>
        <v>2.74</v>
      </c>
      <c r="AZ24">
        <f t="shared" si="12"/>
        <v>3.1150000000000002</v>
      </c>
      <c r="BA24">
        <f t="shared" si="13"/>
        <v>8.5351000000000017</v>
      </c>
      <c r="BB24">
        <f t="shared" si="14"/>
        <v>3.26</v>
      </c>
      <c r="BC24">
        <f t="shared" si="15"/>
        <v>3.3</v>
      </c>
      <c r="BD24">
        <f t="shared" si="32"/>
        <v>15.2</v>
      </c>
      <c r="BE24">
        <f t="shared" si="16"/>
        <v>0</v>
      </c>
      <c r="BG24">
        <f t="shared" si="17"/>
        <v>2.91</v>
      </c>
      <c r="BH24">
        <f t="shared" si="18"/>
        <v>50.875</v>
      </c>
      <c r="BI24">
        <f t="shared" si="19"/>
        <v>30.215</v>
      </c>
      <c r="BJ24">
        <f t="shared" si="20"/>
        <v>47.965000000000003</v>
      </c>
    </row>
    <row r="25" spans="1:62" x14ac:dyDescent="0.25">
      <c r="A25" t="s">
        <v>63</v>
      </c>
      <c r="B25" s="1">
        <f t="shared" si="5"/>
        <v>0.56999999999999995</v>
      </c>
      <c r="C25">
        <v>3.7</v>
      </c>
      <c r="D25" s="2">
        <v>0.65</v>
      </c>
      <c r="E25">
        <v>0.85</v>
      </c>
      <c r="F25">
        <v>1.41</v>
      </c>
      <c r="G25" s="1">
        <f t="shared" si="0"/>
        <v>0.85</v>
      </c>
      <c r="H25">
        <f t="shared" si="26"/>
        <v>3</v>
      </c>
      <c r="I25" s="2">
        <v>3.1</v>
      </c>
      <c r="J25" s="2">
        <v>5</v>
      </c>
      <c r="K25" s="2">
        <v>0.3</v>
      </c>
      <c r="L25" s="2">
        <v>1</v>
      </c>
      <c r="M25" s="19">
        <v>1.26</v>
      </c>
      <c r="N25" s="1">
        <f t="shared" si="6"/>
        <v>0.85</v>
      </c>
      <c r="O25">
        <v>1.54</v>
      </c>
      <c r="P25">
        <v>7</v>
      </c>
      <c r="Q25" s="1">
        <f t="shared" si="1"/>
        <v>1.26</v>
      </c>
      <c r="R25">
        <v>1.36</v>
      </c>
      <c r="S25">
        <v>1.41</v>
      </c>
      <c r="T25" s="1">
        <f t="shared" si="7"/>
        <v>0.56999999999999995</v>
      </c>
      <c r="U25" s="2">
        <v>0.44</v>
      </c>
      <c r="V25" s="2">
        <v>2.16</v>
      </c>
      <c r="W25" s="2">
        <v>0.85</v>
      </c>
      <c r="X25" s="2">
        <v>3.66</v>
      </c>
      <c r="Y25" s="15">
        <v>4.43</v>
      </c>
      <c r="Z25" s="2">
        <v>1</v>
      </c>
      <c r="AA25">
        <v>1.22</v>
      </c>
      <c r="AB25" s="1">
        <f t="shared" si="2"/>
        <v>1.22</v>
      </c>
      <c r="AC25" s="1">
        <f t="shared" si="3"/>
        <v>2.6399999999999997</v>
      </c>
      <c r="AD25">
        <v>4.17</v>
      </c>
      <c r="AE25">
        <v>31.13</v>
      </c>
      <c r="AF25">
        <v>3.78</v>
      </c>
      <c r="AG25" s="2">
        <v>0.56999999999999995</v>
      </c>
      <c r="AH25" s="2">
        <v>1.25</v>
      </c>
      <c r="AI25" s="2">
        <v>0.7</v>
      </c>
      <c r="AJ25" s="2">
        <v>4.0999999999999996</v>
      </c>
      <c r="AK25" s="2">
        <v>1</v>
      </c>
      <c r="AL25" s="2">
        <v>0.1</v>
      </c>
      <c r="AM25" s="2">
        <v>1</v>
      </c>
      <c r="AN25">
        <v>0.47</v>
      </c>
      <c r="AO25">
        <v>2.5</v>
      </c>
      <c r="AP25">
        <v>0</v>
      </c>
      <c r="AS25">
        <f t="shared" si="4"/>
        <v>1.1031746031746033</v>
      </c>
      <c r="AT25">
        <v>22</v>
      </c>
      <c r="AU25">
        <f t="shared" si="21"/>
        <v>26.94</v>
      </c>
      <c r="AV25">
        <f t="shared" si="22"/>
        <v>27.43</v>
      </c>
      <c r="AW25">
        <f t="shared" si="23"/>
        <v>0.48999999999999844</v>
      </c>
      <c r="AY25">
        <f t="shared" si="11"/>
        <v>2.6399999999999997</v>
      </c>
      <c r="AZ25">
        <f t="shared" si="12"/>
        <v>3.0300000000000002</v>
      </c>
      <c r="BA25">
        <f t="shared" si="13"/>
        <v>7.9992000000000001</v>
      </c>
      <c r="BB25">
        <f t="shared" si="14"/>
        <v>3.18</v>
      </c>
      <c r="BC25">
        <f t="shared" si="15"/>
        <v>3.19</v>
      </c>
      <c r="BD25">
        <v>15.5</v>
      </c>
      <c r="BE25">
        <f t="shared" si="16"/>
        <v>0</v>
      </c>
      <c r="BG25">
        <f t="shared" si="17"/>
        <v>6.59</v>
      </c>
      <c r="BH25">
        <f t="shared" si="18"/>
        <v>37.129999999999995</v>
      </c>
      <c r="BI25">
        <f t="shared" si="19"/>
        <v>24.54</v>
      </c>
      <c r="BJ25">
        <f t="shared" si="20"/>
        <v>30.539999999999996</v>
      </c>
    </row>
    <row r="26" spans="1:62" s="3" customFormat="1" x14ac:dyDescent="0.25">
      <c r="A26" s="3" t="s">
        <v>64</v>
      </c>
      <c r="B26" s="6">
        <f t="shared" si="5"/>
        <v>0.56999999999999995</v>
      </c>
      <c r="C26" s="3">
        <v>3.7</v>
      </c>
      <c r="D26" s="4">
        <v>0.65</v>
      </c>
      <c r="E26" s="17">
        <f t="shared" si="24"/>
        <v>0.79800000000000004</v>
      </c>
      <c r="F26" s="3">
        <f>E26+0.6</f>
        <v>1.3980000000000001</v>
      </c>
      <c r="G26" s="1">
        <f t="shared" si="0"/>
        <v>0.79800000000000004</v>
      </c>
      <c r="H26" s="17">
        <f t="shared" si="26"/>
        <v>8.875</v>
      </c>
      <c r="I26" s="2">
        <v>3.1</v>
      </c>
      <c r="J26" s="2">
        <v>5</v>
      </c>
      <c r="K26" s="2">
        <v>0.3</v>
      </c>
      <c r="L26" s="2">
        <v>1</v>
      </c>
      <c r="M26" s="18">
        <f>O26-0.4</f>
        <v>1.0979999999999999</v>
      </c>
      <c r="N26" s="1">
        <f t="shared" si="6"/>
        <v>0.79800000000000004</v>
      </c>
      <c r="O26" s="18">
        <f>E26+0.7</f>
        <v>1.498</v>
      </c>
      <c r="P26" s="3">
        <v>18.75</v>
      </c>
      <c r="Q26" s="1">
        <f t="shared" si="1"/>
        <v>1.0979999999999999</v>
      </c>
      <c r="R26" s="18">
        <v>1.3</v>
      </c>
      <c r="S26" s="18">
        <v>1.3</v>
      </c>
      <c r="T26" s="6">
        <f t="shared" si="7"/>
        <v>0.56999999999999995</v>
      </c>
      <c r="U26" s="2">
        <v>0.44</v>
      </c>
      <c r="V26" s="2">
        <v>2.16</v>
      </c>
      <c r="W26" s="2">
        <v>0.85</v>
      </c>
      <c r="X26" s="2">
        <v>3.66</v>
      </c>
      <c r="Y26" s="14">
        <f>5/8</f>
        <v>0.625</v>
      </c>
      <c r="Z26" s="4">
        <v>1</v>
      </c>
      <c r="AA26" s="18">
        <f>AF26*0.311</f>
        <v>1.1079375</v>
      </c>
      <c r="AB26" s="6">
        <f t="shared" si="2"/>
        <v>1.1079375</v>
      </c>
      <c r="AC26" s="6">
        <f t="shared" si="3"/>
        <v>2.4225000000000003</v>
      </c>
      <c r="AD26" s="3">
        <v>4</v>
      </c>
      <c r="AE26" s="3">
        <f>29+5/8</f>
        <v>29.625</v>
      </c>
      <c r="AF26" s="3">
        <f>3+9/16</f>
        <v>3.5625</v>
      </c>
      <c r="AG26" s="4">
        <v>0.56999999999999995</v>
      </c>
      <c r="AH26" s="4">
        <v>1.25</v>
      </c>
      <c r="AI26" s="4">
        <v>0.7</v>
      </c>
      <c r="AJ26" s="4">
        <v>4.0999999999999996</v>
      </c>
      <c r="AK26" s="4">
        <v>1</v>
      </c>
      <c r="AL26" s="4">
        <v>0.1</v>
      </c>
      <c r="AM26" s="4">
        <v>1</v>
      </c>
      <c r="AN26" s="18">
        <f>AG26*0.8</f>
        <v>0.45599999999999996</v>
      </c>
      <c r="AO26" s="3">
        <f>AG26*4.18</f>
        <v>2.3825999999999996</v>
      </c>
      <c r="AP26">
        <v>0</v>
      </c>
      <c r="AQ26"/>
      <c r="AR26"/>
      <c r="AS26" s="3">
        <f t="shared" si="4"/>
        <v>1.1228070175438596</v>
      </c>
      <c r="AT26">
        <v>23</v>
      </c>
      <c r="AU26">
        <f t="shared" si="21"/>
        <v>25.43</v>
      </c>
      <c r="AV26">
        <f t="shared" si="22"/>
        <v>25.925000000000001</v>
      </c>
      <c r="AW26">
        <f t="shared" si="23"/>
        <v>0.49500000000000099</v>
      </c>
      <c r="AY26">
        <f t="shared" si="11"/>
        <v>2.4225000000000003</v>
      </c>
      <c r="AZ26">
        <f t="shared" si="12"/>
        <v>2.8600000000000003</v>
      </c>
      <c r="BA26">
        <f t="shared" si="13"/>
        <v>6.9283500000000018</v>
      </c>
      <c r="BB26">
        <f t="shared" si="14"/>
        <v>2.94</v>
      </c>
      <c r="BC26">
        <f t="shared" si="15"/>
        <v>2.97</v>
      </c>
      <c r="BD26">
        <v>15</v>
      </c>
      <c r="BE26">
        <f t="shared" si="16"/>
        <v>0</v>
      </c>
      <c r="BG26">
        <f t="shared" si="17"/>
        <v>2.7850000000000001</v>
      </c>
      <c r="BH26">
        <f t="shared" si="18"/>
        <v>47.375</v>
      </c>
      <c r="BI26">
        <f t="shared" si="19"/>
        <v>26.84</v>
      </c>
      <c r="BJ26">
        <f t="shared" si="20"/>
        <v>44.59</v>
      </c>
    </row>
    <row r="27" spans="1:62" s="7" customFormat="1" x14ac:dyDescent="0.25">
      <c r="A27" s="7" t="s">
        <v>65</v>
      </c>
      <c r="B27" s="10">
        <f t="shared" si="5"/>
        <v>0.5</v>
      </c>
      <c r="C27" s="7">
        <v>3.45</v>
      </c>
      <c r="D27" s="9">
        <v>0.65</v>
      </c>
      <c r="E27" s="17">
        <f t="shared" si="24"/>
        <v>0.77700000000000002</v>
      </c>
      <c r="F27" s="3">
        <f t="shared" ref="F27:F34" si="35">E27+0.6</f>
        <v>1.377</v>
      </c>
      <c r="G27" s="1">
        <f t="shared" si="0"/>
        <v>0.77700000000000002</v>
      </c>
      <c r="H27" s="17">
        <f t="shared" si="26"/>
        <v>3</v>
      </c>
      <c r="I27" s="2">
        <v>3.1</v>
      </c>
      <c r="J27" s="2">
        <v>5</v>
      </c>
      <c r="K27" s="2">
        <v>0.3</v>
      </c>
      <c r="L27" s="2">
        <v>1</v>
      </c>
      <c r="M27" s="18">
        <f t="shared" ref="M27:M34" si="36">O27-0.4</f>
        <v>1.077</v>
      </c>
      <c r="N27" s="1">
        <f t="shared" si="6"/>
        <v>0.77700000000000002</v>
      </c>
      <c r="O27" s="18">
        <f t="shared" ref="O27:O34" si="37">E27+0.7</f>
        <v>1.4769999999999999</v>
      </c>
      <c r="P27" s="7">
        <v>7</v>
      </c>
      <c r="Q27" s="1">
        <f t="shared" si="1"/>
        <v>1.077</v>
      </c>
      <c r="R27" s="18">
        <v>1.3</v>
      </c>
      <c r="S27" s="18">
        <v>1.3</v>
      </c>
      <c r="T27" s="10">
        <f t="shared" si="7"/>
        <v>0.5</v>
      </c>
      <c r="U27" s="2">
        <v>0.44</v>
      </c>
      <c r="V27" s="2">
        <v>2.16</v>
      </c>
      <c r="W27" s="2">
        <v>0.85</v>
      </c>
      <c r="X27" s="2">
        <v>3.66</v>
      </c>
      <c r="Y27" s="17">
        <v>3</v>
      </c>
      <c r="Z27" s="9">
        <v>1</v>
      </c>
      <c r="AA27" s="18">
        <f t="shared" ref="AA27:AA34" si="38">AF27*0.311</f>
        <v>1.07878125</v>
      </c>
      <c r="AB27" s="10">
        <f t="shared" si="2"/>
        <v>1.07878125</v>
      </c>
      <c r="AC27" s="10">
        <f t="shared" si="3"/>
        <v>2.46875</v>
      </c>
      <c r="AD27" s="12">
        <f>AD28+(AD26-AD28)/2</f>
        <v>3.875</v>
      </c>
      <c r="AE27" s="12">
        <f>AE28+(AE26-AE28)/2</f>
        <v>28.0625</v>
      </c>
      <c r="AF27" s="12">
        <f>AF28+(AF26-AF28)/2</f>
        <v>3.46875</v>
      </c>
      <c r="AG27" s="9">
        <v>0.5</v>
      </c>
      <c r="AH27" s="9">
        <v>1.25</v>
      </c>
      <c r="AI27" s="9">
        <v>0.7</v>
      </c>
      <c r="AJ27" s="9">
        <v>4.0999999999999996</v>
      </c>
      <c r="AK27" s="9">
        <v>1</v>
      </c>
      <c r="AL27" s="9">
        <v>0.1</v>
      </c>
      <c r="AM27" s="9">
        <v>1</v>
      </c>
      <c r="AN27" s="18">
        <f t="shared" ref="AN27:AN34" si="39">AG27*0.8</f>
        <v>0.4</v>
      </c>
      <c r="AO27" s="3">
        <f t="shared" ref="AO27:AO34" si="40">AG27*4.18</f>
        <v>2.09</v>
      </c>
      <c r="AP27">
        <v>0</v>
      </c>
      <c r="AQ27"/>
      <c r="AR27"/>
      <c r="AS27" s="7">
        <f t="shared" si="4"/>
        <v>1.117117117117117</v>
      </c>
      <c r="AT27" s="7">
        <v>24</v>
      </c>
      <c r="AU27" s="7">
        <f t="shared" si="21"/>
        <v>24</v>
      </c>
      <c r="AV27" s="13">
        <f t="shared" si="22"/>
        <v>24.612500000000001</v>
      </c>
      <c r="AW27" s="7">
        <f t="shared" si="23"/>
        <v>0.61250000000000071</v>
      </c>
      <c r="AY27">
        <f t="shared" si="11"/>
        <v>2.46875</v>
      </c>
      <c r="AZ27">
        <f t="shared" si="12"/>
        <v>2.875</v>
      </c>
      <c r="BA27">
        <f t="shared" si="13"/>
        <v>7.09765625</v>
      </c>
      <c r="BB27">
        <f t="shared" si="14"/>
        <v>3.01</v>
      </c>
      <c r="BC27">
        <f t="shared" si="15"/>
        <v>3.01</v>
      </c>
      <c r="BD27">
        <v>16</v>
      </c>
      <c r="BE27">
        <f t="shared" si="16"/>
        <v>0</v>
      </c>
      <c r="BG27">
        <f t="shared" si="17"/>
        <v>5.16</v>
      </c>
      <c r="BH27">
        <f t="shared" si="18"/>
        <v>34.0625</v>
      </c>
      <c r="BI27">
        <f t="shared" si="19"/>
        <v>22.9025</v>
      </c>
      <c r="BJ27">
        <f t="shared" si="20"/>
        <v>28.9025</v>
      </c>
    </row>
    <row r="28" spans="1:62" x14ac:dyDescent="0.25">
      <c r="A28" t="s">
        <v>66</v>
      </c>
      <c r="B28" s="1">
        <f t="shared" si="5"/>
        <v>0.49</v>
      </c>
      <c r="C28">
        <v>3.45</v>
      </c>
      <c r="D28" s="2">
        <v>0.65</v>
      </c>
      <c r="E28" s="17">
        <f t="shared" si="24"/>
        <v>0.75600000000000001</v>
      </c>
      <c r="F28" s="3">
        <f t="shared" si="35"/>
        <v>1.3559999999999999</v>
      </c>
      <c r="G28" s="1">
        <f t="shared" si="0"/>
        <v>0.75600000000000001</v>
      </c>
      <c r="H28" s="17">
        <f t="shared" si="26"/>
        <v>8.875</v>
      </c>
      <c r="I28" s="2">
        <v>3.1</v>
      </c>
      <c r="J28" s="2">
        <v>5</v>
      </c>
      <c r="K28" s="2">
        <v>0.3</v>
      </c>
      <c r="L28" s="2">
        <v>1</v>
      </c>
      <c r="M28" s="18">
        <f t="shared" si="36"/>
        <v>1.056</v>
      </c>
      <c r="N28" s="1">
        <f t="shared" si="6"/>
        <v>0.75600000000000001</v>
      </c>
      <c r="O28" s="18">
        <f t="shared" si="37"/>
        <v>1.456</v>
      </c>
      <c r="P28" s="16">
        <v>18.75</v>
      </c>
      <c r="Q28" s="1">
        <f t="shared" si="1"/>
        <v>1.056</v>
      </c>
      <c r="R28" s="18">
        <v>1.3</v>
      </c>
      <c r="S28" s="18">
        <v>1.3</v>
      </c>
      <c r="T28" s="1">
        <f t="shared" si="7"/>
        <v>0.49</v>
      </c>
      <c r="U28" s="2">
        <v>0.44</v>
      </c>
      <c r="V28" s="2">
        <v>2.16</v>
      </c>
      <c r="W28" s="2">
        <v>0.85</v>
      </c>
      <c r="X28" s="2">
        <v>3.66</v>
      </c>
      <c r="Y28" s="14">
        <f>3/8</f>
        <v>0.375</v>
      </c>
      <c r="Z28" s="2">
        <v>1</v>
      </c>
      <c r="AA28" s="18">
        <f t="shared" si="38"/>
        <v>1.049625</v>
      </c>
      <c r="AB28" s="1">
        <f t="shared" si="2"/>
        <v>1.049625</v>
      </c>
      <c r="AC28" s="1">
        <f t="shared" si="3"/>
        <v>2.395</v>
      </c>
      <c r="AD28">
        <v>3.75</v>
      </c>
      <c r="AE28">
        <v>26.5</v>
      </c>
      <c r="AF28">
        <f>3+3/8</f>
        <v>3.375</v>
      </c>
      <c r="AG28" s="2">
        <v>0.49</v>
      </c>
      <c r="AH28" s="2">
        <v>1.25</v>
      </c>
      <c r="AI28" s="2">
        <v>0.7</v>
      </c>
      <c r="AJ28" s="2">
        <v>4.0999999999999996</v>
      </c>
      <c r="AK28" s="2">
        <v>1</v>
      </c>
      <c r="AL28" s="2">
        <v>0.1</v>
      </c>
      <c r="AM28" s="2">
        <v>1</v>
      </c>
      <c r="AN28" s="18">
        <f t="shared" si="39"/>
        <v>0.39200000000000002</v>
      </c>
      <c r="AO28" s="3">
        <f t="shared" si="40"/>
        <v>2.0482</v>
      </c>
      <c r="AP28">
        <v>0</v>
      </c>
      <c r="AS28">
        <f t="shared" si="4"/>
        <v>1.1111111111111112</v>
      </c>
      <c r="AT28">
        <v>25</v>
      </c>
      <c r="AU28">
        <f t="shared" si="21"/>
        <v>22.65</v>
      </c>
      <c r="AV28">
        <f t="shared" si="22"/>
        <v>23.05</v>
      </c>
      <c r="AW28">
        <f t="shared" si="23"/>
        <v>0.40000000000000213</v>
      </c>
      <c r="AY28">
        <f t="shared" si="11"/>
        <v>2.395</v>
      </c>
      <c r="AZ28">
        <f t="shared" si="12"/>
        <v>2.77</v>
      </c>
      <c r="BA28">
        <f t="shared" si="13"/>
        <v>6.63415</v>
      </c>
      <c r="BB28">
        <f t="shared" si="14"/>
        <v>2.88</v>
      </c>
      <c r="BC28">
        <f t="shared" si="15"/>
        <v>2.91</v>
      </c>
      <c r="BD28">
        <f t="shared" si="32"/>
        <v>16</v>
      </c>
      <c r="BE28">
        <f t="shared" si="16"/>
        <v>0</v>
      </c>
      <c r="BG28">
        <f t="shared" si="17"/>
        <v>2.5350000000000001</v>
      </c>
      <c r="BH28">
        <f t="shared" si="18"/>
        <v>44.25</v>
      </c>
      <c r="BI28">
        <f t="shared" si="19"/>
        <v>23.965</v>
      </c>
      <c r="BJ28">
        <f t="shared" si="20"/>
        <v>41.715000000000003</v>
      </c>
    </row>
    <row r="29" spans="1:62" s="7" customFormat="1" x14ac:dyDescent="0.25">
      <c r="A29" s="7" t="s">
        <v>67</v>
      </c>
      <c r="B29" s="8">
        <f t="shared" si="5"/>
        <v>0.49</v>
      </c>
      <c r="C29" s="7">
        <v>3.45</v>
      </c>
      <c r="D29" s="9">
        <v>0.65</v>
      </c>
      <c r="E29" s="17">
        <f t="shared" si="24"/>
        <v>0.73919999999999997</v>
      </c>
      <c r="F29" s="3">
        <f t="shared" si="35"/>
        <v>1.3391999999999999</v>
      </c>
      <c r="G29" s="1">
        <f t="shared" si="0"/>
        <v>0.73919999999999997</v>
      </c>
      <c r="H29" s="17">
        <f t="shared" si="26"/>
        <v>3</v>
      </c>
      <c r="I29" s="2">
        <v>3.1</v>
      </c>
      <c r="J29" s="2">
        <v>5</v>
      </c>
      <c r="K29" s="2">
        <v>0.3</v>
      </c>
      <c r="L29" s="2">
        <v>1</v>
      </c>
      <c r="M29" s="18">
        <f t="shared" si="36"/>
        <v>1.0392000000000001</v>
      </c>
      <c r="N29" s="1">
        <f t="shared" si="6"/>
        <v>0.73919999999999997</v>
      </c>
      <c r="O29" s="18">
        <f t="shared" si="37"/>
        <v>1.4392</v>
      </c>
      <c r="P29" s="7">
        <v>7</v>
      </c>
      <c r="Q29" s="1">
        <f t="shared" si="1"/>
        <v>1.0392000000000001</v>
      </c>
      <c r="R29" s="18">
        <v>1.3</v>
      </c>
      <c r="S29" s="18">
        <v>1.3</v>
      </c>
      <c r="T29" s="8">
        <f t="shared" si="7"/>
        <v>0.49</v>
      </c>
      <c r="U29" s="2">
        <v>0.44</v>
      </c>
      <c r="V29" s="2">
        <v>2.16</v>
      </c>
      <c r="W29" s="2">
        <v>0.85</v>
      </c>
      <c r="X29" s="2">
        <v>3.66</v>
      </c>
      <c r="Y29" s="17">
        <v>2.5</v>
      </c>
      <c r="Z29" s="9">
        <v>1</v>
      </c>
      <c r="AA29" s="18">
        <f t="shared" si="38"/>
        <v>1.0263</v>
      </c>
      <c r="AB29" s="8">
        <f t="shared" si="2"/>
        <v>1.0263</v>
      </c>
      <c r="AC29" s="8">
        <f t="shared" si="3"/>
        <v>2.3199999999999998</v>
      </c>
      <c r="AD29" s="12">
        <v>3.75</v>
      </c>
      <c r="AE29" s="12">
        <f>AE30+(AE28-AE30)/2</f>
        <v>25.25</v>
      </c>
      <c r="AF29" s="12">
        <v>3.3</v>
      </c>
      <c r="AG29" s="9">
        <v>0.49</v>
      </c>
      <c r="AH29" s="9">
        <v>1.25</v>
      </c>
      <c r="AI29" s="9">
        <v>0.7</v>
      </c>
      <c r="AJ29" s="9">
        <v>4.0999999999999996</v>
      </c>
      <c r="AK29" s="9">
        <v>1</v>
      </c>
      <c r="AL29" s="9">
        <v>0.1</v>
      </c>
      <c r="AM29" s="9">
        <v>1</v>
      </c>
      <c r="AN29" s="18">
        <f t="shared" si="39"/>
        <v>0.39200000000000002</v>
      </c>
      <c r="AO29" s="3">
        <f t="shared" si="40"/>
        <v>2.0482</v>
      </c>
      <c r="AP29">
        <v>0</v>
      </c>
      <c r="AQ29"/>
      <c r="AR29"/>
      <c r="AS29" s="7">
        <f t="shared" si="4"/>
        <v>1.1363636363636365</v>
      </c>
      <c r="AT29" s="7">
        <v>26</v>
      </c>
      <c r="AU29" s="7">
        <f t="shared" si="21"/>
        <v>21.38</v>
      </c>
      <c r="AV29" s="13">
        <f t="shared" si="22"/>
        <v>21.8</v>
      </c>
      <c r="AW29" s="7">
        <f t="shared" si="23"/>
        <v>0.42000000000000171</v>
      </c>
      <c r="AY29">
        <f t="shared" si="11"/>
        <v>2.3199999999999998</v>
      </c>
      <c r="AZ29">
        <f t="shared" si="12"/>
        <v>2.77</v>
      </c>
      <c r="BA29">
        <f t="shared" si="13"/>
        <v>6.4263999999999992</v>
      </c>
      <c r="BB29">
        <f t="shared" si="14"/>
        <v>2.85</v>
      </c>
      <c r="BC29">
        <f t="shared" si="15"/>
        <v>2.86</v>
      </c>
      <c r="BD29">
        <v>16.5</v>
      </c>
      <c r="BE29">
        <f t="shared" si="16"/>
        <v>0</v>
      </c>
      <c r="BG29">
        <f t="shared" si="17"/>
        <v>4.66</v>
      </c>
      <c r="BH29">
        <f t="shared" si="18"/>
        <v>31.25</v>
      </c>
      <c r="BI29">
        <f t="shared" si="19"/>
        <v>20.59</v>
      </c>
      <c r="BJ29">
        <f t="shared" si="20"/>
        <v>26.59</v>
      </c>
    </row>
    <row r="30" spans="1:62" x14ac:dyDescent="0.25">
      <c r="A30" t="s">
        <v>68</v>
      </c>
      <c r="B30" s="1">
        <f t="shared" si="5"/>
        <v>0.49</v>
      </c>
      <c r="C30">
        <v>3.41</v>
      </c>
      <c r="D30" s="2">
        <v>0.65</v>
      </c>
      <c r="E30" s="17">
        <f t="shared" si="24"/>
        <v>0.70000000000000007</v>
      </c>
      <c r="F30" s="3">
        <f t="shared" si="35"/>
        <v>1.3</v>
      </c>
      <c r="G30" s="1">
        <f t="shared" si="0"/>
        <v>0.70000000000000007</v>
      </c>
      <c r="H30" s="17">
        <f t="shared" si="26"/>
        <v>8.875</v>
      </c>
      <c r="I30" s="2">
        <v>3.1</v>
      </c>
      <c r="J30" s="2">
        <v>5</v>
      </c>
      <c r="K30" s="2">
        <v>0.3</v>
      </c>
      <c r="L30" s="2">
        <v>1</v>
      </c>
      <c r="M30" s="18">
        <f t="shared" si="36"/>
        <v>0.99999999999999989</v>
      </c>
      <c r="N30" s="1">
        <f t="shared" si="6"/>
        <v>0.70000000000000007</v>
      </c>
      <c r="O30" s="18">
        <f t="shared" si="37"/>
        <v>1.4</v>
      </c>
      <c r="P30" s="16">
        <v>18.75</v>
      </c>
      <c r="Q30" s="1">
        <f t="shared" si="1"/>
        <v>0.99999999999999989</v>
      </c>
      <c r="R30" s="18">
        <v>1.3</v>
      </c>
      <c r="S30" s="18">
        <v>1.3</v>
      </c>
      <c r="T30" s="1">
        <f t="shared" si="7"/>
        <v>0.49</v>
      </c>
      <c r="U30" s="2">
        <v>0.44</v>
      </c>
      <c r="V30" s="2">
        <v>2.16</v>
      </c>
      <c r="W30" s="2">
        <v>0.85</v>
      </c>
      <c r="X30" s="2">
        <v>3.66</v>
      </c>
      <c r="Y30" s="14">
        <f>1+1/8</f>
        <v>1.125</v>
      </c>
      <c r="Z30" s="2">
        <v>1</v>
      </c>
      <c r="AA30" s="18">
        <f t="shared" si="38"/>
        <v>0.97187500000000004</v>
      </c>
      <c r="AB30" s="1">
        <f t="shared" si="2"/>
        <v>0.97187500000000004</v>
      </c>
      <c r="AC30" s="1">
        <f t="shared" si="3"/>
        <v>2.145</v>
      </c>
      <c r="AD30">
        <v>3.9</v>
      </c>
      <c r="AE30">
        <v>24</v>
      </c>
      <c r="AF30">
        <f>3+1/8</f>
        <v>3.125</v>
      </c>
      <c r="AG30" s="2">
        <v>0.49</v>
      </c>
      <c r="AH30" s="2">
        <v>1.25</v>
      </c>
      <c r="AI30" s="2">
        <v>0.7</v>
      </c>
      <c r="AJ30" s="2">
        <v>4.0999999999999996</v>
      </c>
      <c r="AK30" s="2">
        <v>1</v>
      </c>
      <c r="AL30" s="2">
        <v>0.1</v>
      </c>
      <c r="AM30" s="2">
        <v>1</v>
      </c>
      <c r="AN30" s="18">
        <f t="shared" si="39"/>
        <v>0.39200000000000002</v>
      </c>
      <c r="AO30" s="3">
        <f t="shared" si="40"/>
        <v>2.0482</v>
      </c>
      <c r="AP30">
        <v>0</v>
      </c>
      <c r="AS30">
        <f t="shared" si="4"/>
        <v>1.248</v>
      </c>
      <c r="AT30">
        <v>27</v>
      </c>
      <c r="AU30">
        <f t="shared" si="21"/>
        <v>20.18</v>
      </c>
      <c r="AV30">
        <f t="shared" si="22"/>
        <v>20.59</v>
      </c>
      <c r="AW30">
        <f t="shared" si="23"/>
        <v>0.41000000000000014</v>
      </c>
      <c r="AY30">
        <f t="shared" si="11"/>
        <v>2.145</v>
      </c>
      <c r="AZ30">
        <f t="shared" si="12"/>
        <v>2.92</v>
      </c>
      <c r="BA30">
        <f t="shared" si="13"/>
        <v>6.2633999999999999</v>
      </c>
      <c r="BB30">
        <f t="shared" si="14"/>
        <v>2.79</v>
      </c>
      <c r="BC30">
        <f t="shared" si="15"/>
        <v>2.82</v>
      </c>
      <c r="BD30">
        <v>16.8</v>
      </c>
      <c r="BE30">
        <f t="shared" si="16"/>
        <v>0</v>
      </c>
      <c r="BG30">
        <f t="shared" si="17"/>
        <v>3.2850000000000001</v>
      </c>
      <c r="BH30">
        <f t="shared" si="18"/>
        <v>41.75</v>
      </c>
      <c r="BI30">
        <f t="shared" si="19"/>
        <v>20.715</v>
      </c>
      <c r="BJ30">
        <f t="shared" si="20"/>
        <v>38.465000000000003</v>
      </c>
    </row>
    <row r="31" spans="1:62" s="7" customFormat="1" x14ac:dyDescent="0.25">
      <c r="A31" s="7" t="s">
        <v>69</v>
      </c>
      <c r="B31" s="8">
        <f t="shared" si="5"/>
        <v>0.49</v>
      </c>
      <c r="C31" s="7">
        <v>3.4</v>
      </c>
      <c r="D31" s="9">
        <v>0.65</v>
      </c>
      <c r="E31" s="17">
        <f t="shared" si="24"/>
        <v>0.67200000000000004</v>
      </c>
      <c r="F31" s="3">
        <f t="shared" si="35"/>
        <v>1.272</v>
      </c>
      <c r="G31" s="1">
        <f t="shared" si="0"/>
        <v>0.67200000000000004</v>
      </c>
      <c r="H31" s="17">
        <f t="shared" si="26"/>
        <v>3</v>
      </c>
      <c r="I31" s="2">
        <v>3.1</v>
      </c>
      <c r="J31" s="2">
        <v>5</v>
      </c>
      <c r="K31" s="2">
        <v>0.3</v>
      </c>
      <c r="L31" s="2">
        <v>1</v>
      </c>
      <c r="M31" s="18">
        <f t="shared" si="36"/>
        <v>0.97199999999999986</v>
      </c>
      <c r="N31" s="1">
        <f t="shared" si="6"/>
        <v>0.67200000000000004</v>
      </c>
      <c r="O31" s="18">
        <f t="shared" si="37"/>
        <v>1.3719999999999999</v>
      </c>
      <c r="P31" s="7">
        <v>7</v>
      </c>
      <c r="Q31" s="1">
        <f t="shared" si="1"/>
        <v>0.97199999999999986</v>
      </c>
      <c r="R31" s="18">
        <v>1.3</v>
      </c>
      <c r="S31" s="18">
        <v>1.3</v>
      </c>
      <c r="T31" s="8">
        <f t="shared" si="7"/>
        <v>0.49</v>
      </c>
      <c r="U31" s="2">
        <v>0.44</v>
      </c>
      <c r="V31" s="2">
        <v>2.16</v>
      </c>
      <c r="W31" s="2">
        <v>0.85</v>
      </c>
      <c r="X31" s="2">
        <v>3.66</v>
      </c>
      <c r="Y31" s="17">
        <v>2.25</v>
      </c>
      <c r="Z31" s="9">
        <v>1</v>
      </c>
      <c r="AA31" s="18">
        <f t="shared" si="38"/>
        <v>0.93300000000000005</v>
      </c>
      <c r="AB31" s="8">
        <f t="shared" si="2"/>
        <v>0.93300000000000005</v>
      </c>
      <c r="AC31" s="8">
        <f t="shared" si="3"/>
        <v>2.02</v>
      </c>
      <c r="AD31" s="12">
        <v>3.8</v>
      </c>
      <c r="AE31" s="12">
        <v>22.85</v>
      </c>
      <c r="AF31" s="12">
        <v>3</v>
      </c>
      <c r="AG31" s="9">
        <v>0.49</v>
      </c>
      <c r="AH31" s="9">
        <v>1.25</v>
      </c>
      <c r="AI31" s="9">
        <v>0.7</v>
      </c>
      <c r="AJ31" s="9">
        <v>4.0999999999999996</v>
      </c>
      <c r="AK31" s="9">
        <v>1</v>
      </c>
      <c r="AL31" s="9">
        <v>0.1</v>
      </c>
      <c r="AM31" s="9">
        <v>1</v>
      </c>
      <c r="AN31" s="18">
        <f t="shared" si="39"/>
        <v>0.39200000000000002</v>
      </c>
      <c r="AO31" s="3">
        <f t="shared" si="40"/>
        <v>2.0482</v>
      </c>
      <c r="AP31">
        <v>0</v>
      </c>
      <c r="AQ31"/>
      <c r="AR31"/>
      <c r="AS31" s="7">
        <f t="shared" si="4"/>
        <v>1.2666666666666666</v>
      </c>
      <c r="AT31" s="7">
        <v>28</v>
      </c>
      <c r="AU31" s="7">
        <f t="shared" si="21"/>
        <v>19.05</v>
      </c>
      <c r="AV31" s="7">
        <f t="shared" si="22"/>
        <v>19.450000000000003</v>
      </c>
      <c r="AW31" s="7">
        <f t="shared" si="23"/>
        <v>0.40000000000000213</v>
      </c>
      <c r="AY31">
        <f t="shared" si="11"/>
        <v>2.02</v>
      </c>
      <c r="AZ31">
        <f t="shared" si="12"/>
        <v>2.82</v>
      </c>
      <c r="BA31">
        <f t="shared" si="13"/>
        <v>5.6963999999999997</v>
      </c>
      <c r="BB31">
        <f t="shared" si="14"/>
        <v>2.71</v>
      </c>
      <c r="BC31">
        <f t="shared" si="15"/>
        <v>2.69</v>
      </c>
      <c r="BD31">
        <v>17</v>
      </c>
      <c r="BE31">
        <f t="shared" si="16"/>
        <v>0</v>
      </c>
      <c r="BG31">
        <f t="shared" si="17"/>
        <v>4.41</v>
      </c>
      <c r="BH31">
        <f t="shared" si="18"/>
        <v>28.85</v>
      </c>
      <c r="BI31">
        <f t="shared" si="19"/>
        <v>18.440000000000001</v>
      </c>
      <c r="BJ31">
        <f t="shared" si="20"/>
        <v>24.44</v>
      </c>
    </row>
    <row r="32" spans="1:62" s="7" customFormat="1" x14ac:dyDescent="0.25">
      <c r="A32" s="7" t="s">
        <v>70</v>
      </c>
      <c r="B32" s="8">
        <f t="shared" si="5"/>
        <v>0.49</v>
      </c>
      <c r="C32" s="7">
        <v>3.4</v>
      </c>
      <c r="D32" s="9">
        <v>0.65</v>
      </c>
      <c r="E32" s="17">
        <f t="shared" si="24"/>
        <v>0.64959999999999996</v>
      </c>
      <c r="F32" s="3">
        <f t="shared" si="35"/>
        <v>1.2496</v>
      </c>
      <c r="G32" s="1">
        <f t="shared" si="0"/>
        <v>0.64959999999999996</v>
      </c>
      <c r="H32" s="17">
        <f t="shared" si="26"/>
        <v>8.875</v>
      </c>
      <c r="I32" s="2">
        <v>3.1</v>
      </c>
      <c r="J32" s="2">
        <v>5</v>
      </c>
      <c r="K32" s="2">
        <v>0.3</v>
      </c>
      <c r="L32" s="2">
        <v>1</v>
      </c>
      <c r="M32" s="18">
        <f t="shared" si="36"/>
        <v>0.94959999999999989</v>
      </c>
      <c r="N32" s="1">
        <f t="shared" si="6"/>
        <v>0.64959999999999996</v>
      </c>
      <c r="O32" s="18">
        <f t="shared" si="37"/>
        <v>1.3495999999999999</v>
      </c>
      <c r="P32" s="7">
        <v>18.75</v>
      </c>
      <c r="Q32" s="1">
        <f t="shared" si="1"/>
        <v>0.94959999999999989</v>
      </c>
      <c r="R32" s="18">
        <v>1.3</v>
      </c>
      <c r="S32" s="18">
        <v>1.3</v>
      </c>
      <c r="T32" s="8">
        <f t="shared" si="7"/>
        <v>0.49</v>
      </c>
      <c r="U32" s="2">
        <v>0.44</v>
      </c>
      <c r="V32" s="2">
        <v>2.16</v>
      </c>
      <c r="W32" s="2">
        <v>0.85</v>
      </c>
      <c r="X32" s="2">
        <v>3.66</v>
      </c>
      <c r="Y32" s="17">
        <v>0.8</v>
      </c>
      <c r="Z32" s="9">
        <v>1</v>
      </c>
      <c r="AA32" s="18">
        <f t="shared" si="38"/>
        <v>0.90189999999999992</v>
      </c>
      <c r="AB32" s="8">
        <f t="shared" si="2"/>
        <v>0.90189999999999992</v>
      </c>
      <c r="AC32" s="8">
        <f t="shared" si="3"/>
        <v>1.92</v>
      </c>
      <c r="AD32" s="12">
        <v>3.7</v>
      </c>
      <c r="AE32" s="12">
        <v>21.78</v>
      </c>
      <c r="AF32" s="12">
        <v>2.9</v>
      </c>
      <c r="AG32" s="9">
        <v>0.49</v>
      </c>
      <c r="AH32" s="9">
        <v>1.25</v>
      </c>
      <c r="AI32" s="9">
        <v>0.7</v>
      </c>
      <c r="AJ32" s="9">
        <v>4.0999999999999996</v>
      </c>
      <c r="AK32" s="9">
        <v>1</v>
      </c>
      <c r="AL32" s="9">
        <v>0.1</v>
      </c>
      <c r="AM32" s="9">
        <v>1</v>
      </c>
      <c r="AN32" s="18">
        <f t="shared" si="39"/>
        <v>0.39200000000000002</v>
      </c>
      <c r="AO32" s="3">
        <f t="shared" si="40"/>
        <v>2.0482</v>
      </c>
      <c r="AP32">
        <v>0</v>
      </c>
      <c r="AQ32"/>
      <c r="AR32"/>
      <c r="AS32" s="7">
        <f t="shared" si="4"/>
        <v>1.2758620689655173</v>
      </c>
      <c r="AT32" s="7">
        <v>29</v>
      </c>
      <c r="AU32" s="7">
        <f t="shared" si="21"/>
        <v>17.98</v>
      </c>
      <c r="AV32" s="7">
        <f t="shared" si="22"/>
        <v>18.380000000000003</v>
      </c>
      <c r="AW32" s="7">
        <f t="shared" si="23"/>
        <v>0.40000000000000213</v>
      </c>
      <c r="AY32">
        <f t="shared" si="11"/>
        <v>1.92</v>
      </c>
      <c r="AZ32">
        <f t="shared" si="12"/>
        <v>2.72</v>
      </c>
      <c r="BA32">
        <f t="shared" si="13"/>
        <v>5.2224000000000004</v>
      </c>
      <c r="BB32">
        <f t="shared" si="14"/>
        <v>2.64</v>
      </c>
      <c r="BC32">
        <f t="shared" si="15"/>
        <v>2.58</v>
      </c>
      <c r="BD32">
        <v>17.2</v>
      </c>
      <c r="BE32">
        <f t="shared" si="16"/>
        <v>-0.1</v>
      </c>
      <c r="BG32">
        <f t="shared" si="17"/>
        <v>2.96</v>
      </c>
      <c r="BH32">
        <f t="shared" si="18"/>
        <v>39.53</v>
      </c>
      <c r="BI32">
        <f t="shared" si="19"/>
        <v>18.82</v>
      </c>
      <c r="BJ32">
        <f t="shared" si="20"/>
        <v>36.57</v>
      </c>
    </row>
    <row r="33" spans="1:62" s="7" customFormat="1" x14ac:dyDescent="0.25">
      <c r="A33" s="7" t="s">
        <v>71</v>
      </c>
      <c r="B33" s="8">
        <f t="shared" si="5"/>
        <v>0.49</v>
      </c>
      <c r="C33" s="7">
        <v>3.4</v>
      </c>
      <c r="D33" s="9">
        <v>0.65</v>
      </c>
      <c r="E33" s="17">
        <f t="shared" si="24"/>
        <v>0.63168000000000002</v>
      </c>
      <c r="F33" s="3">
        <f t="shared" si="35"/>
        <v>1.2316799999999999</v>
      </c>
      <c r="G33" s="1">
        <f t="shared" si="0"/>
        <v>0.63168000000000002</v>
      </c>
      <c r="H33" s="17">
        <f t="shared" si="26"/>
        <v>3</v>
      </c>
      <c r="I33" s="2">
        <v>3.1</v>
      </c>
      <c r="J33" s="2">
        <v>5</v>
      </c>
      <c r="K33" s="2">
        <v>0.3</v>
      </c>
      <c r="L33" s="2">
        <v>1</v>
      </c>
      <c r="M33" s="18">
        <f t="shared" si="36"/>
        <v>0.93167999999999995</v>
      </c>
      <c r="N33" s="1">
        <f t="shared" si="6"/>
        <v>0.63168000000000002</v>
      </c>
      <c r="O33" s="18">
        <f t="shared" si="37"/>
        <v>1.33168</v>
      </c>
      <c r="P33" s="7">
        <v>7</v>
      </c>
      <c r="Q33" s="1">
        <f t="shared" si="1"/>
        <v>0.93167999999999995</v>
      </c>
      <c r="R33" s="18">
        <v>1.3</v>
      </c>
      <c r="S33" s="18">
        <v>1.3</v>
      </c>
      <c r="T33" s="8">
        <f t="shared" si="7"/>
        <v>0.49</v>
      </c>
      <c r="U33" s="2">
        <v>0.44</v>
      </c>
      <c r="V33" s="2">
        <v>2.16</v>
      </c>
      <c r="W33" s="2">
        <v>0.85</v>
      </c>
      <c r="X33" s="2">
        <v>3.66</v>
      </c>
      <c r="Y33" s="17">
        <v>2</v>
      </c>
      <c r="Z33" s="9">
        <v>1</v>
      </c>
      <c r="AA33" s="18">
        <f t="shared" si="38"/>
        <v>0.87701999999999991</v>
      </c>
      <c r="AB33" s="8">
        <f t="shared" si="2"/>
        <v>0.87701999999999991</v>
      </c>
      <c r="AC33" s="8">
        <f t="shared" si="3"/>
        <v>1.8399999999999999</v>
      </c>
      <c r="AD33" s="12">
        <v>3.65</v>
      </c>
      <c r="AE33" s="12">
        <v>20.77</v>
      </c>
      <c r="AF33" s="12">
        <v>2.82</v>
      </c>
      <c r="AG33" s="9">
        <v>0.49</v>
      </c>
      <c r="AH33" s="9">
        <v>1.25</v>
      </c>
      <c r="AI33" s="9">
        <v>0.7</v>
      </c>
      <c r="AJ33" s="9">
        <v>4.0999999999999996</v>
      </c>
      <c r="AK33" s="9">
        <v>1</v>
      </c>
      <c r="AL33" s="9">
        <v>0.1</v>
      </c>
      <c r="AM33" s="9">
        <v>1</v>
      </c>
      <c r="AN33" s="18">
        <f t="shared" si="39"/>
        <v>0.39200000000000002</v>
      </c>
      <c r="AO33" s="3">
        <f t="shared" si="40"/>
        <v>2.0482</v>
      </c>
      <c r="AP33">
        <v>0</v>
      </c>
      <c r="AQ33"/>
      <c r="AR33"/>
      <c r="AS33" s="7">
        <f t="shared" si="4"/>
        <v>1.2943262411347518</v>
      </c>
      <c r="AT33" s="7">
        <v>30</v>
      </c>
      <c r="AU33" s="7">
        <f t="shared" si="21"/>
        <v>16.97</v>
      </c>
      <c r="AV33" s="7">
        <f t="shared" si="22"/>
        <v>17.37</v>
      </c>
      <c r="AW33" s="7">
        <f t="shared" si="23"/>
        <v>0.40000000000000213</v>
      </c>
      <c r="AY33">
        <f t="shared" si="11"/>
        <v>1.8399999999999999</v>
      </c>
      <c r="AZ33">
        <f t="shared" si="12"/>
        <v>2.67</v>
      </c>
      <c r="BA33">
        <f t="shared" si="13"/>
        <v>4.9127999999999998</v>
      </c>
      <c r="BB33">
        <f t="shared" si="14"/>
        <v>2.54</v>
      </c>
      <c r="BC33">
        <f t="shared" si="15"/>
        <v>2.5</v>
      </c>
      <c r="BD33">
        <f t="shared" si="32"/>
        <v>17.2</v>
      </c>
      <c r="BE33">
        <f t="shared" si="16"/>
        <v>0</v>
      </c>
      <c r="BG33">
        <f t="shared" si="17"/>
        <v>4.16</v>
      </c>
      <c r="BH33">
        <f t="shared" si="18"/>
        <v>26.77</v>
      </c>
      <c r="BI33">
        <f t="shared" si="19"/>
        <v>16.61</v>
      </c>
      <c r="BJ33">
        <f t="shared" si="20"/>
        <v>22.61</v>
      </c>
    </row>
    <row r="34" spans="1:62" s="7" customFormat="1" x14ac:dyDescent="0.25">
      <c r="A34" s="7" t="s">
        <v>72</v>
      </c>
      <c r="B34" s="8">
        <f t="shared" si="5"/>
        <v>0.49</v>
      </c>
      <c r="C34" s="7">
        <v>3.4</v>
      </c>
      <c r="D34" s="9">
        <v>0.65</v>
      </c>
      <c r="E34" s="17">
        <f t="shared" si="24"/>
        <v>0.61152000000000006</v>
      </c>
      <c r="F34" s="3">
        <f t="shared" si="35"/>
        <v>1.2115200000000002</v>
      </c>
      <c r="G34" s="1">
        <f t="shared" si="0"/>
        <v>0.61152000000000006</v>
      </c>
      <c r="H34" s="17">
        <f t="shared" si="26"/>
        <v>8.875</v>
      </c>
      <c r="I34" s="2">
        <v>3.1</v>
      </c>
      <c r="J34" s="2">
        <v>5</v>
      </c>
      <c r="K34" s="2">
        <v>0.3</v>
      </c>
      <c r="L34" s="2">
        <v>1</v>
      </c>
      <c r="M34" s="18">
        <f t="shared" si="36"/>
        <v>0.91152</v>
      </c>
      <c r="N34" s="1">
        <f t="shared" si="6"/>
        <v>0.61152000000000006</v>
      </c>
      <c r="O34" s="18">
        <f t="shared" si="37"/>
        <v>1.31152</v>
      </c>
      <c r="P34" s="7">
        <v>18.75</v>
      </c>
      <c r="Q34" s="1">
        <f t="shared" si="1"/>
        <v>0.91152</v>
      </c>
      <c r="R34" s="18">
        <v>1.3</v>
      </c>
      <c r="S34" s="18">
        <v>1.3</v>
      </c>
      <c r="T34" s="8">
        <f t="shared" si="7"/>
        <v>0.49</v>
      </c>
      <c r="U34" s="2">
        <v>0.44</v>
      </c>
      <c r="V34" s="2">
        <v>2.16</v>
      </c>
      <c r="W34" s="2">
        <v>0.85</v>
      </c>
      <c r="X34" s="2">
        <v>3.66</v>
      </c>
      <c r="Y34" s="17">
        <v>0.5</v>
      </c>
      <c r="Z34" s="9">
        <v>1</v>
      </c>
      <c r="AA34" s="18">
        <f t="shared" si="38"/>
        <v>0.84902999999999995</v>
      </c>
      <c r="AB34" s="8">
        <f t="shared" si="2"/>
        <v>0.84902999999999995</v>
      </c>
      <c r="AC34" s="8">
        <f t="shared" si="3"/>
        <v>1.75</v>
      </c>
      <c r="AD34" s="12">
        <v>3.55</v>
      </c>
      <c r="AE34" s="12">
        <v>19.82</v>
      </c>
      <c r="AF34" s="12">
        <v>2.73</v>
      </c>
      <c r="AG34" s="9">
        <v>0.49</v>
      </c>
      <c r="AH34" s="9">
        <v>1.25</v>
      </c>
      <c r="AI34" s="9">
        <v>0.7</v>
      </c>
      <c r="AJ34" s="9">
        <v>4.0999999999999996</v>
      </c>
      <c r="AK34" s="9">
        <v>1</v>
      </c>
      <c r="AL34" s="9">
        <v>0.1</v>
      </c>
      <c r="AM34" s="9">
        <v>1</v>
      </c>
      <c r="AN34" s="18">
        <f t="shared" si="39"/>
        <v>0.39200000000000002</v>
      </c>
      <c r="AO34" s="3">
        <f t="shared" si="40"/>
        <v>2.0482</v>
      </c>
      <c r="AP34">
        <v>0</v>
      </c>
      <c r="AQ34"/>
      <c r="AR34"/>
      <c r="AS34" s="7">
        <f t="shared" si="4"/>
        <v>1.3003663003663004</v>
      </c>
      <c r="AT34" s="7">
        <v>31</v>
      </c>
      <c r="AU34" s="7">
        <f t="shared" si="21"/>
        <v>16.02</v>
      </c>
      <c r="AV34" s="7">
        <f t="shared" si="22"/>
        <v>16.420000000000002</v>
      </c>
      <c r="AW34" s="7">
        <f t="shared" si="23"/>
        <v>0.40000000000000213</v>
      </c>
      <c r="AY34">
        <f t="shared" si="11"/>
        <v>1.75</v>
      </c>
      <c r="AZ34">
        <f t="shared" si="12"/>
        <v>2.57</v>
      </c>
      <c r="BA34">
        <f t="shared" si="13"/>
        <v>4.4974999999999996</v>
      </c>
      <c r="BB34">
        <f t="shared" si="14"/>
        <v>2.44</v>
      </c>
      <c r="BC34">
        <f t="shared" si="15"/>
        <v>2.39</v>
      </c>
      <c r="BD34">
        <f t="shared" si="32"/>
        <v>17.2</v>
      </c>
      <c r="BE34">
        <f t="shared" si="16"/>
        <v>0</v>
      </c>
      <c r="BG34">
        <f t="shared" si="17"/>
        <v>2.66</v>
      </c>
      <c r="BH34">
        <f t="shared" si="18"/>
        <v>37.57</v>
      </c>
      <c r="BI34">
        <f t="shared" si="19"/>
        <v>17.16</v>
      </c>
      <c r="BJ34">
        <f t="shared" si="20"/>
        <v>34.909999999999997</v>
      </c>
    </row>
    <row r="35" spans="1:62" x14ac:dyDescent="0.25">
      <c r="T35" s="1"/>
      <c r="U35" s="2"/>
      <c r="V35" s="2"/>
      <c r="W35" s="2"/>
      <c r="X35" s="2"/>
      <c r="Y35" s="17"/>
      <c r="Z35" s="2"/>
      <c r="AB35" s="1">
        <f t="shared" si="2"/>
        <v>0</v>
      </c>
      <c r="AC35" s="1">
        <f t="shared" si="3"/>
        <v>-0.98</v>
      </c>
      <c r="AG35" s="2">
        <v>0.49</v>
      </c>
      <c r="AH35" s="2">
        <v>1.25</v>
      </c>
      <c r="AI35" s="2">
        <v>0.7</v>
      </c>
      <c r="AJ35" s="2">
        <v>4.0999999999999996</v>
      </c>
      <c r="AK35" s="2">
        <v>1</v>
      </c>
      <c r="AL35" s="2">
        <v>0.1</v>
      </c>
      <c r="AM35" s="2">
        <v>1</v>
      </c>
      <c r="AS35" t="e">
        <f t="shared" si="4"/>
        <v>#DIV/0!</v>
      </c>
      <c r="AT35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AncientBourdon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Horn</dc:creator>
  <cp:lastModifiedBy>Daniel Horn</cp:lastModifiedBy>
  <dcterms:created xsi:type="dcterms:W3CDTF">2026-03-26T14:07:30Z</dcterms:created>
  <dcterms:modified xsi:type="dcterms:W3CDTF">2026-03-27T11:30:09Z</dcterms:modified>
</cp:coreProperties>
</file>